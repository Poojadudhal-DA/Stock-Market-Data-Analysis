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OneDrive - Vidyavardhini's College of Engineering and Technology\Desktop\Businesss Analyst Course\Stock market project\Stock market project\Data\"/>
    </mc:Choice>
  </mc:AlternateContent>
  <xr:revisionPtr revIDLastSave="0" documentId="13_ncr:1_{223C1CD1-AC17-47FA-BE68-F968B3A82B17}" xr6:coauthVersionLast="47" xr6:coauthVersionMax="47" xr10:uidLastSave="{00000000-0000-0000-0000-000000000000}"/>
  <bookViews>
    <workbookView xWindow="-108" yWindow="-108" windowWidth="23256" windowHeight="12456" firstSheet="8" activeTab="14" xr2:uid="{00000000-000D-0000-FFFF-FFFF00000000}"/>
  </bookViews>
  <sheets>
    <sheet name="dim_exchange" sheetId="1" r:id="rId1"/>
    <sheet name="dim_sector" sheetId="2" r:id="rId2"/>
    <sheet name="dim_company" sheetId="3" r:id="rId3"/>
    <sheet name="dim_trader" sheetId="4" r:id="rId4"/>
    <sheet name="dim_portfolio" sheetId="5" r:id="rId5"/>
    <sheet name="dim_calendar" sheetId="6" r:id="rId6"/>
    <sheet name="fact_daily_prices" sheetId="7" r:id="rId7"/>
    <sheet name="Sheet1" sheetId="13" r:id="rId8"/>
    <sheet name="Sheet2" sheetId="17" r:id="rId9"/>
    <sheet name="fact_dividends" sheetId="8" r:id="rId10"/>
    <sheet name="fact_splits" sheetId="9" r:id="rId11"/>
    <sheet name="fact_orders" sheetId="10" r:id="rId12"/>
    <sheet name="fact_trades" sheetId="11" r:id="rId13"/>
    <sheet name="fact_positions_snapshot" sheetId="12" r:id="rId14"/>
    <sheet name="Dashboard" sheetId="16" r:id="rId15"/>
  </sheets>
  <definedNames>
    <definedName name="_xlcn.WorksheetConnection_StockMarketAnalysis.xlsxTable11" hidden="1">Table11[]</definedName>
    <definedName name="_xlcn.WorksheetConnection_StockMarketAnalysis.xlsxTable3" hidden="1">Table3[]</definedName>
    <definedName name="_xlcn.WorksheetConnection_StockMarketAnalysis.xlsxTable7" hidden="1">Table7[]</definedName>
    <definedName name="Slicer_company_name">#N/A</definedName>
  </definedNames>
  <calcPr calcId="191029"/>
  <pivotCaches>
    <pivotCache cacheId="0" r:id="rId16"/>
    <pivotCache cacheId="1" r:id="rId17"/>
    <pivotCache cacheId="2" r:id="rId18"/>
    <pivotCache cacheId="3" r:id="rId19"/>
    <pivotCache cacheId="4" r:id="rId20"/>
    <pivotCache cacheId="5" r:id="rId21"/>
    <pivotCache cacheId="6" r:id="rId22"/>
  </pivotCaches>
  <extLst>
    <ext xmlns:x14="http://schemas.microsoft.com/office/spreadsheetml/2009/9/main" uri="{876F7934-8845-4945-9796-88D515C7AA90}">
      <x14:pivotCaches>
        <pivotCache cacheId="7"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7" name="Table7" connection="WorksheetConnection_Stock Market Analysis.xlsx!Table7"/>
          <x15:modelTable id="Table3" name="Table3" connection="WorksheetConnection_Stock Market Analysis.xlsx!Table3"/>
          <x15:modelTable id="Table11" name="Table11" connection="WorksheetConnection_Stock Market Analysis.xlsx!Table11"/>
        </x15:modelTables>
        <x15:modelRelationships>
          <x15:modelRelationship fromTable="Table7" fromColumn="company_id" toTable="Table3" toColumn="company_id"/>
          <x15:modelRelationship fromTable="Table11" fromColumn="company_id" toTable="Table3" toColumn="company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6" i="16" l="1"/>
  <c r="N6" i="16"/>
  <c r="F6" i="16"/>
  <c r="B6" i="16"/>
  <c r="B4" i="16"/>
  <c r="J6" i="16"/>
  <c r="J3" i="7"/>
  <c r="H4" i="7"/>
  <c r="H5" i="7"/>
  <c r="H6" i="7"/>
  <c r="H7" i="7"/>
  <c r="H8" i="7"/>
  <c r="H9" i="7"/>
  <c r="H10" i="7"/>
  <c r="H11" i="7"/>
  <c r="H12" i="7"/>
  <c r="H13" i="7"/>
  <c r="H14" i="7"/>
  <c r="H15" i="7"/>
  <c r="H16" i="7"/>
  <c r="H17" i="7"/>
  <c r="H18" i="7"/>
  <c r="H19" i="7"/>
  <c r="H20" i="7"/>
  <c r="H21" i="7"/>
  <c r="H22" i="7"/>
  <c r="H23" i="7"/>
  <c r="H24" i="7"/>
  <c r="H25" i="7"/>
  <c r="H26" i="7"/>
  <c r="H27" i="7"/>
  <c r="H28" i="7"/>
  <c r="H29" i="7"/>
  <c r="H30" i="7"/>
  <c r="H31" i="7"/>
  <c r="H32" i="7"/>
  <c r="H33" i="7"/>
  <c r="H34" i="7"/>
  <c r="H35" i="7"/>
  <c r="H36" i="7"/>
  <c r="H37" i="7"/>
  <c r="H38" i="7"/>
  <c r="H39" i="7"/>
  <c r="H40" i="7"/>
  <c r="H41" i="7"/>
  <c r="H42" i="7"/>
  <c r="H43" i="7"/>
  <c r="H44" i="7"/>
  <c r="H45" i="7"/>
  <c r="H46" i="7"/>
  <c r="H47" i="7"/>
  <c r="H48" i="7"/>
  <c r="H49" i="7"/>
  <c r="H50" i="7"/>
  <c r="H51" i="7"/>
  <c r="H52" i="7"/>
  <c r="H53" i="7"/>
  <c r="H54" i="7"/>
  <c r="H55" i="7"/>
  <c r="H56" i="7"/>
  <c r="H57" i="7"/>
  <c r="H58" i="7"/>
  <c r="H59" i="7"/>
  <c r="H60" i="7"/>
  <c r="H61" i="7"/>
  <c r="H62" i="7"/>
  <c r="H63" i="7"/>
  <c r="H64" i="7"/>
  <c r="H65" i="7"/>
  <c r="H66" i="7"/>
  <c r="H67" i="7"/>
  <c r="H68" i="7"/>
  <c r="H69" i="7"/>
  <c r="H70" i="7"/>
  <c r="H71" i="7"/>
  <c r="H72" i="7"/>
  <c r="H73" i="7"/>
  <c r="H74" i="7"/>
  <c r="H75" i="7"/>
  <c r="H76" i="7"/>
  <c r="H77" i="7"/>
  <c r="H78" i="7"/>
  <c r="H79" i="7"/>
  <c r="H80" i="7"/>
  <c r="H81" i="7"/>
  <c r="H82" i="7"/>
  <c r="H83" i="7"/>
  <c r="H84" i="7"/>
  <c r="H85" i="7"/>
  <c r="H86" i="7"/>
  <c r="H87" i="7"/>
  <c r="H88" i="7"/>
  <c r="H89" i="7"/>
  <c r="H90" i="7"/>
  <c r="H91" i="7"/>
  <c r="H92" i="7"/>
  <c r="H93" i="7"/>
  <c r="H94" i="7"/>
  <c r="H95" i="7"/>
  <c r="H96" i="7"/>
  <c r="H97" i="7"/>
  <c r="H98" i="7"/>
  <c r="H99" i="7"/>
  <c r="H100" i="7"/>
  <c r="H101" i="7"/>
  <c r="H102" i="7"/>
  <c r="H103" i="7"/>
  <c r="H104" i="7"/>
  <c r="H105" i="7"/>
  <c r="H106" i="7"/>
  <c r="H107" i="7"/>
  <c r="H108" i="7"/>
  <c r="H109" i="7"/>
  <c r="H110" i="7"/>
  <c r="H111" i="7"/>
  <c r="H112" i="7"/>
  <c r="H113" i="7"/>
  <c r="H114" i="7"/>
  <c r="H115" i="7"/>
  <c r="H116" i="7"/>
  <c r="H117" i="7"/>
  <c r="H118" i="7"/>
  <c r="H119" i="7"/>
  <c r="H120" i="7"/>
  <c r="H121" i="7"/>
  <c r="H122" i="7"/>
  <c r="H123" i="7"/>
  <c r="H124" i="7"/>
  <c r="H125" i="7"/>
  <c r="H126" i="7"/>
  <c r="H127" i="7"/>
  <c r="H128" i="7"/>
  <c r="H129" i="7"/>
  <c r="H130" i="7"/>
  <c r="H131" i="7"/>
  <c r="H132" i="7"/>
  <c r="H133" i="7"/>
  <c r="H134" i="7"/>
  <c r="H135" i="7"/>
  <c r="H136" i="7"/>
  <c r="H137" i="7"/>
  <c r="H138" i="7"/>
  <c r="H139" i="7"/>
  <c r="H140" i="7"/>
  <c r="H141" i="7"/>
  <c r="H142" i="7"/>
  <c r="H143" i="7"/>
  <c r="H144" i="7"/>
  <c r="H145" i="7"/>
  <c r="H146" i="7"/>
  <c r="H147" i="7"/>
  <c r="H148" i="7"/>
  <c r="H149" i="7"/>
  <c r="H150" i="7"/>
  <c r="H151" i="7"/>
  <c r="H152" i="7"/>
  <c r="H153" i="7"/>
  <c r="H154" i="7"/>
  <c r="H155" i="7"/>
  <c r="H156" i="7"/>
  <c r="H157" i="7"/>
  <c r="H158" i="7"/>
  <c r="H159" i="7"/>
  <c r="H160" i="7"/>
  <c r="H161" i="7"/>
  <c r="H162" i="7"/>
  <c r="H163" i="7"/>
  <c r="H164" i="7"/>
  <c r="H165" i="7"/>
  <c r="H166" i="7"/>
  <c r="H167" i="7"/>
  <c r="H168" i="7"/>
  <c r="H169" i="7"/>
  <c r="H170" i="7"/>
  <c r="H171" i="7"/>
  <c r="H172" i="7"/>
  <c r="H173" i="7"/>
  <c r="H174" i="7"/>
  <c r="H175" i="7"/>
  <c r="H176" i="7"/>
  <c r="H177" i="7"/>
  <c r="H178" i="7"/>
  <c r="H179" i="7"/>
  <c r="H180" i="7"/>
  <c r="H181" i="7"/>
  <c r="H182" i="7"/>
  <c r="H183" i="7"/>
  <c r="H184" i="7"/>
  <c r="H185" i="7"/>
  <c r="H186" i="7"/>
  <c r="H187" i="7"/>
  <c r="H188" i="7"/>
  <c r="H189" i="7"/>
  <c r="H190" i="7"/>
  <c r="H191" i="7"/>
  <c r="H192" i="7"/>
  <c r="H193" i="7"/>
  <c r="H194" i="7"/>
  <c r="H195" i="7"/>
  <c r="H196" i="7"/>
  <c r="H197" i="7"/>
  <c r="H198" i="7"/>
  <c r="H199" i="7"/>
  <c r="H200" i="7"/>
  <c r="H201" i="7"/>
  <c r="H202" i="7"/>
  <c r="H203" i="7"/>
  <c r="H204" i="7"/>
  <c r="H205" i="7"/>
  <c r="H206" i="7"/>
  <c r="H207" i="7"/>
  <c r="H208" i="7"/>
  <c r="H209" i="7"/>
  <c r="H210" i="7"/>
  <c r="H211" i="7"/>
  <c r="H212" i="7"/>
  <c r="H213" i="7"/>
  <c r="H214" i="7"/>
  <c r="H215" i="7"/>
  <c r="H216" i="7"/>
  <c r="H217" i="7"/>
  <c r="H218" i="7"/>
  <c r="H219" i="7"/>
  <c r="H220" i="7"/>
  <c r="H221" i="7"/>
  <c r="H222" i="7"/>
  <c r="H223" i="7"/>
  <c r="H224" i="7"/>
  <c r="H225" i="7"/>
  <c r="H226" i="7"/>
  <c r="H227" i="7"/>
  <c r="H228" i="7"/>
  <c r="H229" i="7"/>
  <c r="H230" i="7"/>
  <c r="H231" i="7"/>
  <c r="H232" i="7"/>
  <c r="H233" i="7"/>
  <c r="H234" i="7"/>
  <c r="H235" i="7"/>
  <c r="H236" i="7"/>
  <c r="H237" i="7"/>
  <c r="H238" i="7"/>
  <c r="H239" i="7"/>
  <c r="H240" i="7"/>
  <c r="H241" i="7"/>
  <c r="H242" i="7"/>
  <c r="H243" i="7"/>
  <c r="H244" i="7"/>
  <c r="H245" i="7"/>
  <c r="H246" i="7"/>
  <c r="H247" i="7"/>
  <c r="H248" i="7"/>
  <c r="H249" i="7"/>
  <c r="H250" i="7"/>
  <c r="H251" i="7"/>
  <c r="H252" i="7"/>
  <c r="H253" i="7"/>
  <c r="H254" i="7"/>
  <c r="H255" i="7"/>
  <c r="H256" i="7"/>
  <c r="H257" i="7"/>
  <c r="H258" i="7"/>
  <c r="H259" i="7"/>
  <c r="H260" i="7"/>
  <c r="H261" i="7"/>
  <c r="H262" i="7"/>
  <c r="H263" i="7"/>
  <c r="H264" i="7"/>
  <c r="H265" i="7"/>
  <c r="H266" i="7"/>
  <c r="H267" i="7"/>
  <c r="H268" i="7"/>
  <c r="H269" i="7"/>
  <c r="H270" i="7"/>
  <c r="H271" i="7"/>
  <c r="H272" i="7"/>
  <c r="H273" i="7"/>
  <c r="H274" i="7"/>
  <c r="H275" i="7"/>
  <c r="H276" i="7"/>
  <c r="H277" i="7"/>
  <c r="H278" i="7"/>
  <c r="H279" i="7"/>
  <c r="H280" i="7"/>
  <c r="H281" i="7"/>
  <c r="H282" i="7"/>
  <c r="H283" i="7"/>
  <c r="H284" i="7"/>
  <c r="H285" i="7"/>
  <c r="H286" i="7"/>
  <c r="H287" i="7"/>
  <c r="H288" i="7"/>
  <c r="H289" i="7"/>
  <c r="H290" i="7"/>
  <c r="H291" i="7"/>
  <c r="H292" i="7"/>
  <c r="H293" i="7"/>
  <c r="H294" i="7"/>
  <c r="H295" i="7"/>
  <c r="H296" i="7"/>
  <c r="H297" i="7"/>
  <c r="H298" i="7"/>
  <c r="H299" i="7"/>
  <c r="H300" i="7"/>
  <c r="H301" i="7"/>
  <c r="H302" i="7"/>
  <c r="H303" i="7"/>
  <c r="H304" i="7"/>
  <c r="H305" i="7"/>
  <c r="H306" i="7"/>
  <c r="H307" i="7"/>
  <c r="H308" i="7"/>
  <c r="H309" i="7"/>
  <c r="H310" i="7"/>
  <c r="H311" i="7"/>
  <c r="H312" i="7"/>
  <c r="H313" i="7"/>
  <c r="H314" i="7"/>
  <c r="H315" i="7"/>
  <c r="H316" i="7"/>
  <c r="H317" i="7"/>
  <c r="H318" i="7"/>
  <c r="H319" i="7"/>
  <c r="H320" i="7"/>
  <c r="H321" i="7"/>
  <c r="H322" i="7"/>
  <c r="H323" i="7"/>
  <c r="H324" i="7"/>
  <c r="H325" i="7"/>
  <c r="H326" i="7"/>
  <c r="H327" i="7"/>
  <c r="H328" i="7"/>
  <c r="H329" i="7"/>
  <c r="H330" i="7"/>
  <c r="H331" i="7"/>
  <c r="H332" i="7"/>
  <c r="H333" i="7"/>
  <c r="H334" i="7"/>
  <c r="H335" i="7"/>
  <c r="H336" i="7"/>
  <c r="H337" i="7"/>
  <c r="H338" i="7"/>
  <c r="H339" i="7"/>
  <c r="H340" i="7"/>
  <c r="H341" i="7"/>
  <c r="H342" i="7"/>
  <c r="H343" i="7"/>
  <c r="H344" i="7"/>
  <c r="H345" i="7"/>
  <c r="H346" i="7"/>
  <c r="H347" i="7"/>
  <c r="H348" i="7"/>
  <c r="H349" i="7"/>
  <c r="H350" i="7"/>
  <c r="H351" i="7"/>
  <c r="H352" i="7"/>
  <c r="H353" i="7"/>
  <c r="H354" i="7"/>
  <c r="H355" i="7"/>
  <c r="H356" i="7"/>
  <c r="H357" i="7"/>
  <c r="H358" i="7"/>
  <c r="H359" i="7"/>
  <c r="H360" i="7"/>
  <c r="H361" i="7"/>
  <c r="H362" i="7"/>
  <c r="H363" i="7"/>
  <c r="H364" i="7"/>
  <c r="H365" i="7"/>
  <c r="H366" i="7"/>
  <c r="H367" i="7"/>
  <c r="H368" i="7"/>
  <c r="H369" i="7"/>
  <c r="H370" i="7"/>
  <c r="H371" i="7"/>
  <c r="H372" i="7"/>
  <c r="H373" i="7"/>
  <c r="H374" i="7"/>
  <c r="H375" i="7"/>
  <c r="H376" i="7"/>
  <c r="H377" i="7"/>
  <c r="H378" i="7"/>
  <c r="H379" i="7"/>
  <c r="H380" i="7"/>
  <c r="H381" i="7"/>
  <c r="H382" i="7"/>
  <c r="H383" i="7"/>
  <c r="H384" i="7"/>
  <c r="H385" i="7"/>
  <c r="H386" i="7"/>
  <c r="H387" i="7"/>
  <c r="H388" i="7"/>
  <c r="H389" i="7"/>
  <c r="H390" i="7"/>
  <c r="H391" i="7"/>
  <c r="H392" i="7"/>
  <c r="H393" i="7"/>
  <c r="H394" i="7"/>
  <c r="H395" i="7"/>
  <c r="H396" i="7"/>
  <c r="H397" i="7"/>
  <c r="H398" i="7"/>
  <c r="H399" i="7"/>
  <c r="H400" i="7"/>
  <c r="H401" i="7"/>
  <c r="H402" i="7"/>
  <c r="H403" i="7"/>
  <c r="H404" i="7"/>
  <c r="H405" i="7"/>
  <c r="H406" i="7"/>
  <c r="H407" i="7"/>
  <c r="H408" i="7"/>
  <c r="H409" i="7"/>
  <c r="H410" i="7"/>
  <c r="H411" i="7"/>
  <c r="H412" i="7"/>
  <c r="H413" i="7"/>
  <c r="H414" i="7"/>
  <c r="H415" i="7"/>
  <c r="H416" i="7"/>
  <c r="H417" i="7"/>
  <c r="H418" i="7"/>
  <c r="H419" i="7"/>
  <c r="H420" i="7"/>
  <c r="H421" i="7"/>
  <c r="H422" i="7"/>
  <c r="H423" i="7"/>
  <c r="H424" i="7"/>
  <c r="H425" i="7"/>
  <c r="H426" i="7"/>
  <c r="H427" i="7"/>
  <c r="H428" i="7"/>
  <c r="H429" i="7"/>
  <c r="H430" i="7"/>
  <c r="H431" i="7"/>
  <c r="H432" i="7"/>
  <c r="H433" i="7"/>
  <c r="H434" i="7"/>
  <c r="H435" i="7"/>
  <c r="H436" i="7"/>
  <c r="H437" i="7"/>
  <c r="H438" i="7"/>
  <c r="H439" i="7"/>
  <c r="H440" i="7"/>
  <c r="H441" i="7"/>
  <c r="H442" i="7"/>
  <c r="H443" i="7"/>
  <c r="H444" i="7"/>
  <c r="H445" i="7"/>
  <c r="H446" i="7"/>
  <c r="H447" i="7"/>
  <c r="H448" i="7"/>
  <c r="H449" i="7"/>
  <c r="H450" i="7"/>
  <c r="H451" i="7"/>
  <c r="H452" i="7"/>
  <c r="H453" i="7"/>
  <c r="H454" i="7"/>
  <c r="H455" i="7"/>
  <c r="H456" i="7"/>
  <c r="H457" i="7"/>
  <c r="H458" i="7"/>
  <c r="H459" i="7"/>
  <c r="H460" i="7"/>
  <c r="H461" i="7"/>
  <c r="H462" i="7"/>
  <c r="H463" i="7"/>
  <c r="H464" i="7"/>
  <c r="H465" i="7"/>
  <c r="H466" i="7"/>
  <c r="H467" i="7"/>
  <c r="H468" i="7"/>
  <c r="H469" i="7"/>
  <c r="H470" i="7"/>
  <c r="H471" i="7"/>
  <c r="H472" i="7"/>
  <c r="H473" i="7"/>
  <c r="H474" i="7"/>
  <c r="H475" i="7"/>
  <c r="H476" i="7"/>
  <c r="H477" i="7"/>
  <c r="H478" i="7"/>
  <c r="H479" i="7"/>
  <c r="H480" i="7"/>
  <c r="H481" i="7"/>
  <c r="H482" i="7"/>
  <c r="H483" i="7"/>
  <c r="H484" i="7"/>
  <c r="H485" i="7"/>
  <c r="H486" i="7"/>
  <c r="H487" i="7"/>
  <c r="H488" i="7"/>
  <c r="H489" i="7"/>
  <c r="H490" i="7"/>
  <c r="H491" i="7"/>
  <c r="H492" i="7"/>
  <c r="H493" i="7"/>
  <c r="H494" i="7"/>
  <c r="H495" i="7"/>
  <c r="H496" i="7"/>
  <c r="H497" i="7"/>
  <c r="H498" i="7"/>
  <c r="H499" i="7"/>
  <c r="H500" i="7"/>
  <c r="H501" i="7"/>
  <c r="H502" i="7"/>
  <c r="H503" i="7"/>
  <c r="H504" i="7"/>
  <c r="H505" i="7"/>
  <c r="H506" i="7"/>
  <c r="H507" i="7"/>
  <c r="H508" i="7"/>
  <c r="H509" i="7"/>
  <c r="H510" i="7"/>
  <c r="H511" i="7"/>
  <c r="H512" i="7"/>
  <c r="H513" i="7"/>
  <c r="H514" i="7"/>
  <c r="H515" i="7"/>
  <c r="H516" i="7"/>
  <c r="H517" i="7"/>
  <c r="H518" i="7"/>
  <c r="H519" i="7"/>
  <c r="H520" i="7"/>
  <c r="H521" i="7"/>
  <c r="H522" i="7"/>
  <c r="H523" i="7"/>
  <c r="H524" i="7"/>
  <c r="H525" i="7"/>
  <c r="H526" i="7"/>
  <c r="H527" i="7"/>
  <c r="H528" i="7"/>
  <c r="H529" i="7"/>
  <c r="H530" i="7"/>
  <c r="H531" i="7"/>
  <c r="H532" i="7"/>
  <c r="H533" i="7"/>
  <c r="H534" i="7"/>
  <c r="H535" i="7"/>
  <c r="H536" i="7"/>
  <c r="H537" i="7"/>
  <c r="H538" i="7"/>
  <c r="H539" i="7"/>
  <c r="H540" i="7"/>
  <c r="H541" i="7"/>
  <c r="H542" i="7"/>
  <c r="H543" i="7"/>
  <c r="H544" i="7"/>
  <c r="H545" i="7"/>
  <c r="H546" i="7"/>
  <c r="H547" i="7"/>
  <c r="H548" i="7"/>
  <c r="H549" i="7"/>
  <c r="H550" i="7"/>
  <c r="H551" i="7"/>
  <c r="H552" i="7"/>
  <c r="H553" i="7"/>
  <c r="H554" i="7"/>
  <c r="H555" i="7"/>
  <c r="H556" i="7"/>
  <c r="H557" i="7"/>
  <c r="H558" i="7"/>
  <c r="H559" i="7"/>
  <c r="H560" i="7"/>
  <c r="H561" i="7"/>
  <c r="H562" i="7"/>
  <c r="H563" i="7"/>
  <c r="H564" i="7"/>
  <c r="H565" i="7"/>
  <c r="H566" i="7"/>
  <c r="H567" i="7"/>
  <c r="H568" i="7"/>
  <c r="H569" i="7"/>
  <c r="H570" i="7"/>
  <c r="H571" i="7"/>
  <c r="H572" i="7"/>
  <c r="H573" i="7"/>
  <c r="H574" i="7"/>
  <c r="H575" i="7"/>
  <c r="H576" i="7"/>
  <c r="H577" i="7"/>
  <c r="H578" i="7"/>
  <c r="H579" i="7"/>
  <c r="H580" i="7"/>
  <c r="H581" i="7"/>
  <c r="H582" i="7"/>
  <c r="H583" i="7"/>
  <c r="H584" i="7"/>
  <c r="H585" i="7"/>
  <c r="H586" i="7"/>
  <c r="H587" i="7"/>
  <c r="H588" i="7"/>
  <c r="H589" i="7"/>
  <c r="H590" i="7"/>
  <c r="H591" i="7"/>
  <c r="H592" i="7"/>
  <c r="H593" i="7"/>
  <c r="H594" i="7"/>
  <c r="H595" i="7"/>
  <c r="H596" i="7"/>
  <c r="H597" i="7"/>
  <c r="H598" i="7"/>
  <c r="H599" i="7"/>
  <c r="H600" i="7"/>
  <c r="H601" i="7"/>
  <c r="H602" i="7"/>
  <c r="H603" i="7"/>
  <c r="H604" i="7"/>
  <c r="H605" i="7"/>
  <c r="H606" i="7"/>
  <c r="H607" i="7"/>
  <c r="H608" i="7"/>
  <c r="H609" i="7"/>
  <c r="H610" i="7"/>
  <c r="H611" i="7"/>
  <c r="H612" i="7"/>
  <c r="H613" i="7"/>
  <c r="H614" i="7"/>
  <c r="H615" i="7"/>
  <c r="H616" i="7"/>
  <c r="H617" i="7"/>
  <c r="H618" i="7"/>
  <c r="H619" i="7"/>
  <c r="H620" i="7"/>
  <c r="H621" i="7"/>
  <c r="H622" i="7"/>
  <c r="H623" i="7"/>
  <c r="H624" i="7"/>
  <c r="H625" i="7"/>
  <c r="H626" i="7"/>
  <c r="H627" i="7"/>
  <c r="H628" i="7"/>
  <c r="H629" i="7"/>
  <c r="H630" i="7"/>
  <c r="H631" i="7"/>
  <c r="H632" i="7"/>
  <c r="H633" i="7"/>
  <c r="H634" i="7"/>
  <c r="H635" i="7"/>
  <c r="H636" i="7"/>
  <c r="H637" i="7"/>
  <c r="H638" i="7"/>
  <c r="H639" i="7"/>
  <c r="H640" i="7"/>
  <c r="H641" i="7"/>
  <c r="H642" i="7"/>
  <c r="H643" i="7"/>
  <c r="H644" i="7"/>
  <c r="H645" i="7"/>
  <c r="H646" i="7"/>
  <c r="H647" i="7"/>
  <c r="H648" i="7"/>
  <c r="H649" i="7"/>
  <c r="H650" i="7"/>
  <c r="H651" i="7"/>
  <c r="H652" i="7"/>
  <c r="H653" i="7"/>
  <c r="H654" i="7"/>
  <c r="H655" i="7"/>
  <c r="H656" i="7"/>
  <c r="H657" i="7"/>
  <c r="H658" i="7"/>
  <c r="H659" i="7"/>
  <c r="H660" i="7"/>
  <c r="H661" i="7"/>
  <c r="H662" i="7"/>
  <c r="H663" i="7"/>
  <c r="H664" i="7"/>
  <c r="H665" i="7"/>
  <c r="H666" i="7"/>
  <c r="H667" i="7"/>
  <c r="H668" i="7"/>
  <c r="H669" i="7"/>
  <c r="H670" i="7"/>
  <c r="H671" i="7"/>
  <c r="H672" i="7"/>
  <c r="H673" i="7"/>
  <c r="H674" i="7"/>
  <c r="H675" i="7"/>
  <c r="H676" i="7"/>
  <c r="H677" i="7"/>
  <c r="H678" i="7"/>
  <c r="H679" i="7"/>
  <c r="H680" i="7"/>
  <c r="H681" i="7"/>
  <c r="H682" i="7"/>
  <c r="H683" i="7"/>
  <c r="H684" i="7"/>
  <c r="H685" i="7"/>
  <c r="H686" i="7"/>
  <c r="H687" i="7"/>
  <c r="H688" i="7"/>
  <c r="H689" i="7"/>
  <c r="H690" i="7"/>
  <c r="H691" i="7"/>
  <c r="H692" i="7"/>
  <c r="H693" i="7"/>
  <c r="H694" i="7"/>
  <c r="H695" i="7"/>
  <c r="H696" i="7"/>
  <c r="H697" i="7"/>
  <c r="H698" i="7"/>
  <c r="H699" i="7"/>
  <c r="H700" i="7"/>
  <c r="H701" i="7"/>
  <c r="H702" i="7"/>
  <c r="H703" i="7"/>
  <c r="H704" i="7"/>
  <c r="H705" i="7"/>
  <c r="H706" i="7"/>
  <c r="H707" i="7"/>
  <c r="H708" i="7"/>
  <c r="H709" i="7"/>
  <c r="H710" i="7"/>
  <c r="H711" i="7"/>
  <c r="H712" i="7"/>
  <c r="H713" i="7"/>
  <c r="H714" i="7"/>
  <c r="H715" i="7"/>
  <c r="H716" i="7"/>
  <c r="H717" i="7"/>
  <c r="H718" i="7"/>
  <c r="H719" i="7"/>
  <c r="H720" i="7"/>
  <c r="H721" i="7"/>
  <c r="H722" i="7"/>
  <c r="H723" i="7"/>
  <c r="H724" i="7"/>
  <c r="H725" i="7"/>
  <c r="H726" i="7"/>
  <c r="H727" i="7"/>
  <c r="H728" i="7"/>
  <c r="H729" i="7"/>
  <c r="H730" i="7"/>
  <c r="H731" i="7"/>
  <c r="H732" i="7"/>
  <c r="H733" i="7"/>
  <c r="H734" i="7"/>
  <c r="H735" i="7"/>
  <c r="H736" i="7"/>
  <c r="H737" i="7"/>
  <c r="H738" i="7"/>
  <c r="H739" i="7"/>
  <c r="H740" i="7"/>
  <c r="H741" i="7"/>
  <c r="H742" i="7"/>
  <c r="H743" i="7"/>
  <c r="H744" i="7"/>
  <c r="H745" i="7"/>
  <c r="H746" i="7"/>
  <c r="H747" i="7"/>
  <c r="H748" i="7"/>
  <c r="H749" i="7"/>
  <c r="H750" i="7"/>
  <c r="H751" i="7"/>
  <c r="H752" i="7"/>
  <c r="H753" i="7"/>
  <c r="H754" i="7"/>
  <c r="H755" i="7"/>
  <c r="H756" i="7"/>
  <c r="H757" i="7"/>
  <c r="H758" i="7"/>
  <c r="H759" i="7"/>
  <c r="H760" i="7"/>
  <c r="H761" i="7"/>
  <c r="H762" i="7"/>
  <c r="H763" i="7"/>
  <c r="H764" i="7"/>
  <c r="H765" i="7"/>
  <c r="H766" i="7"/>
  <c r="H767" i="7"/>
  <c r="H768" i="7"/>
  <c r="H769" i="7"/>
  <c r="H770" i="7"/>
  <c r="H771" i="7"/>
  <c r="H772" i="7"/>
  <c r="H773" i="7"/>
  <c r="H774" i="7"/>
  <c r="H775" i="7"/>
  <c r="H776" i="7"/>
  <c r="H777" i="7"/>
  <c r="H778" i="7"/>
  <c r="H779" i="7"/>
  <c r="H780" i="7"/>
  <c r="H781" i="7"/>
  <c r="H782" i="7"/>
  <c r="H783" i="7"/>
  <c r="H784" i="7"/>
  <c r="H785" i="7"/>
  <c r="H786" i="7"/>
  <c r="H787" i="7"/>
  <c r="H788" i="7"/>
  <c r="H789" i="7"/>
  <c r="H790" i="7"/>
  <c r="H791" i="7"/>
  <c r="H792" i="7"/>
  <c r="H793" i="7"/>
  <c r="H794" i="7"/>
  <c r="H795" i="7"/>
  <c r="H796" i="7"/>
  <c r="H797" i="7"/>
  <c r="H798" i="7"/>
  <c r="H799" i="7"/>
  <c r="H800" i="7"/>
  <c r="H801" i="7"/>
  <c r="H802" i="7"/>
  <c r="H803" i="7"/>
  <c r="H804" i="7"/>
  <c r="H805" i="7"/>
  <c r="H806" i="7"/>
  <c r="H807" i="7"/>
  <c r="H808" i="7"/>
  <c r="H809" i="7"/>
  <c r="H810" i="7"/>
  <c r="H811" i="7"/>
  <c r="H812" i="7"/>
  <c r="H813" i="7"/>
  <c r="H814" i="7"/>
  <c r="H815" i="7"/>
  <c r="H816" i="7"/>
  <c r="H817" i="7"/>
  <c r="H818" i="7"/>
  <c r="H819" i="7"/>
  <c r="H820" i="7"/>
  <c r="H821" i="7"/>
  <c r="H822" i="7"/>
  <c r="H823" i="7"/>
  <c r="H824" i="7"/>
  <c r="H825" i="7"/>
  <c r="H826" i="7"/>
  <c r="H827" i="7"/>
  <c r="H828" i="7"/>
  <c r="H829" i="7"/>
  <c r="H830" i="7"/>
  <c r="H831" i="7"/>
  <c r="H832" i="7"/>
  <c r="H833" i="7"/>
  <c r="H834" i="7"/>
  <c r="H835" i="7"/>
  <c r="H836" i="7"/>
  <c r="H837" i="7"/>
  <c r="H838" i="7"/>
  <c r="H839" i="7"/>
  <c r="H840" i="7"/>
  <c r="H841" i="7"/>
  <c r="H842" i="7"/>
  <c r="H843" i="7"/>
  <c r="H844" i="7"/>
  <c r="H845" i="7"/>
  <c r="H846" i="7"/>
  <c r="H847" i="7"/>
  <c r="H848" i="7"/>
  <c r="H849" i="7"/>
  <c r="H850" i="7"/>
  <c r="H851" i="7"/>
  <c r="H852" i="7"/>
  <c r="H853" i="7"/>
  <c r="H854" i="7"/>
  <c r="H855" i="7"/>
  <c r="H856" i="7"/>
  <c r="H857" i="7"/>
  <c r="H858" i="7"/>
  <c r="H859" i="7"/>
  <c r="H860" i="7"/>
  <c r="H861" i="7"/>
  <c r="H862" i="7"/>
  <c r="H863" i="7"/>
  <c r="H864" i="7"/>
  <c r="H865" i="7"/>
  <c r="H866" i="7"/>
  <c r="H867" i="7"/>
  <c r="H868" i="7"/>
  <c r="H869" i="7"/>
  <c r="H870" i="7"/>
  <c r="H871" i="7"/>
  <c r="H872" i="7"/>
  <c r="H873" i="7"/>
  <c r="H874" i="7"/>
  <c r="H875" i="7"/>
  <c r="H876" i="7"/>
  <c r="H877" i="7"/>
  <c r="H878" i="7"/>
  <c r="H879" i="7"/>
  <c r="H880" i="7"/>
  <c r="H881" i="7"/>
  <c r="H882" i="7"/>
  <c r="H883" i="7"/>
  <c r="H884" i="7"/>
  <c r="H885" i="7"/>
  <c r="H886" i="7"/>
  <c r="H887" i="7"/>
  <c r="H888" i="7"/>
  <c r="H889" i="7"/>
  <c r="H890" i="7"/>
  <c r="H891" i="7"/>
  <c r="H892" i="7"/>
  <c r="H893" i="7"/>
  <c r="H894" i="7"/>
  <c r="H895" i="7"/>
  <c r="H896" i="7"/>
  <c r="H897" i="7"/>
  <c r="H898" i="7"/>
  <c r="H899" i="7"/>
  <c r="H900" i="7"/>
  <c r="H901" i="7"/>
  <c r="H902" i="7"/>
  <c r="H903" i="7"/>
  <c r="H904" i="7"/>
  <c r="H905" i="7"/>
  <c r="H906" i="7"/>
  <c r="H907" i="7"/>
  <c r="H908" i="7"/>
  <c r="H909" i="7"/>
  <c r="H910" i="7"/>
  <c r="H911" i="7"/>
  <c r="H912" i="7"/>
  <c r="H913" i="7"/>
  <c r="H914" i="7"/>
  <c r="H915" i="7"/>
  <c r="H916" i="7"/>
  <c r="H917" i="7"/>
  <c r="H918" i="7"/>
  <c r="H919" i="7"/>
  <c r="H920" i="7"/>
  <c r="H921" i="7"/>
  <c r="H922" i="7"/>
  <c r="H923" i="7"/>
  <c r="H924" i="7"/>
  <c r="H925" i="7"/>
  <c r="H926" i="7"/>
  <c r="H927" i="7"/>
  <c r="H928" i="7"/>
  <c r="H929" i="7"/>
  <c r="H930" i="7"/>
  <c r="H931" i="7"/>
  <c r="H932" i="7"/>
  <c r="H933" i="7"/>
  <c r="H934" i="7"/>
  <c r="H935" i="7"/>
  <c r="H936" i="7"/>
  <c r="H937" i="7"/>
  <c r="H938" i="7"/>
  <c r="H939" i="7"/>
  <c r="H940" i="7"/>
  <c r="H941" i="7"/>
  <c r="H942" i="7"/>
  <c r="H943" i="7"/>
  <c r="H944" i="7"/>
  <c r="H945" i="7"/>
  <c r="H946" i="7"/>
  <c r="H947" i="7"/>
  <c r="H948" i="7"/>
  <c r="H949" i="7"/>
  <c r="H950" i="7"/>
  <c r="H951" i="7"/>
  <c r="H952" i="7"/>
  <c r="H953" i="7"/>
  <c r="H954" i="7"/>
  <c r="H955" i="7"/>
  <c r="H956" i="7"/>
  <c r="H957" i="7"/>
  <c r="H958" i="7"/>
  <c r="H959" i="7"/>
  <c r="H960" i="7"/>
  <c r="H961" i="7"/>
  <c r="H962" i="7"/>
  <c r="H963" i="7"/>
  <c r="H964" i="7"/>
  <c r="H965" i="7"/>
  <c r="H966" i="7"/>
  <c r="H967" i="7"/>
  <c r="H968" i="7"/>
  <c r="H969" i="7"/>
  <c r="H970" i="7"/>
  <c r="H971" i="7"/>
  <c r="H972" i="7"/>
  <c r="H973" i="7"/>
  <c r="H974" i="7"/>
  <c r="H975" i="7"/>
  <c r="H976" i="7"/>
  <c r="H977" i="7"/>
  <c r="H978" i="7"/>
  <c r="H979" i="7"/>
  <c r="H980" i="7"/>
  <c r="H981" i="7"/>
  <c r="H982" i="7"/>
  <c r="H983" i="7"/>
  <c r="H984" i="7"/>
  <c r="H985" i="7"/>
  <c r="H986" i="7"/>
  <c r="H987" i="7"/>
  <c r="H988" i="7"/>
  <c r="H989" i="7"/>
  <c r="H990" i="7"/>
  <c r="H991" i="7"/>
  <c r="H992" i="7"/>
  <c r="H993" i="7"/>
  <c r="H994" i="7"/>
  <c r="H995" i="7"/>
  <c r="H996" i="7"/>
  <c r="H997" i="7"/>
  <c r="H998" i="7"/>
  <c r="H999" i="7"/>
  <c r="H1000" i="7"/>
  <c r="H1001" i="7"/>
  <c r="H1002" i="7"/>
  <c r="H1003" i="7"/>
  <c r="H1004" i="7"/>
  <c r="H1005" i="7"/>
  <c r="H1006" i="7"/>
  <c r="H1007" i="7"/>
  <c r="H1008" i="7"/>
  <c r="H1009" i="7"/>
  <c r="H1010" i="7"/>
  <c r="H1011" i="7"/>
  <c r="H1012" i="7"/>
  <c r="H1013" i="7"/>
  <c r="H1014" i="7"/>
  <c r="H1015" i="7"/>
  <c r="H1016" i="7"/>
  <c r="H1017" i="7"/>
  <c r="H1018" i="7"/>
  <c r="H1019" i="7"/>
  <c r="H1020" i="7"/>
  <c r="H1021" i="7"/>
  <c r="H1022" i="7"/>
  <c r="H1023" i="7"/>
  <c r="H1024" i="7"/>
  <c r="H1025" i="7"/>
  <c r="H1026" i="7"/>
  <c r="H1027" i="7"/>
  <c r="H1028" i="7"/>
  <c r="H1029" i="7"/>
  <c r="H1030" i="7"/>
  <c r="H1031" i="7"/>
  <c r="H1032" i="7"/>
  <c r="H1033" i="7"/>
  <c r="H3" i="7"/>
  <c r="M2" i="11"/>
  <c r="M3" i="11"/>
  <c r="M4" i="11"/>
  <c r="M5" i="11"/>
  <c r="M6" i="11"/>
  <c r="M7" i="11"/>
  <c r="M8" i="11"/>
  <c r="M9" i="11"/>
  <c r="M10" i="11"/>
  <c r="M11" i="11"/>
  <c r="M12" i="11"/>
  <c r="M13" i="11"/>
  <c r="M14" i="11"/>
  <c r="M15" i="11"/>
  <c r="M16" i="11"/>
  <c r="M17" i="11"/>
  <c r="M18" i="11"/>
  <c r="M19" i="11"/>
  <c r="M20" i="11"/>
  <c r="M21" i="11"/>
  <c r="M22" i="11"/>
  <c r="M23" i="11"/>
  <c r="M24" i="11"/>
  <c r="M25" i="11"/>
  <c r="M26" i="11"/>
  <c r="M27" i="11"/>
  <c r="M28" i="11"/>
  <c r="M29" i="11"/>
  <c r="M30" i="11"/>
  <c r="M31" i="11"/>
  <c r="M32" i="11"/>
  <c r="M33" i="11"/>
  <c r="M34" i="11"/>
  <c r="M35" i="11"/>
  <c r="M36" i="11"/>
  <c r="M37" i="11"/>
  <c r="M38" i="11"/>
  <c r="M39" i="11"/>
  <c r="M40" i="11"/>
  <c r="M41" i="11"/>
  <c r="M42" i="11"/>
  <c r="M43" i="11"/>
  <c r="M44" i="11"/>
  <c r="M45" i="11"/>
  <c r="M46" i="11"/>
  <c r="M47" i="11"/>
  <c r="M48" i="11"/>
  <c r="M49" i="11"/>
  <c r="M50" i="11"/>
  <c r="M51" i="11"/>
  <c r="M52" i="11"/>
  <c r="M53" i="11"/>
  <c r="M54" i="11"/>
  <c r="M55" i="11"/>
  <c r="M56" i="11"/>
  <c r="M57" i="11"/>
  <c r="M58" i="11"/>
  <c r="M59" i="11"/>
  <c r="M60" i="11"/>
  <c r="M61" i="11"/>
  <c r="M62" i="11"/>
  <c r="M63" i="11"/>
  <c r="M64" i="11"/>
  <c r="M65" i="11"/>
  <c r="M66" i="11"/>
  <c r="M67" i="11"/>
  <c r="M68" i="11"/>
  <c r="M69" i="11"/>
  <c r="M70" i="11"/>
  <c r="M71" i="11"/>
  <c r="M72" i="11"/>
  <c r="M73" i="11"/>
  <c r="M74" i="11"/>
  <c r="M75" i="11"/>
  <c r="M76" i="11"/>
  <c r="M77" i="11"/>
  <c r="M78" i="11"/>
  <c r="M79" i="11"/>
  <c r="M80" i="11"/>
  <c r="M81" i="11"/>
  <c r="M82" i="11"/>
  <c r="M83" i="11"/>
  <c r="M84" i="11"/>
  <c r="M85" i="11"/>
  <c r="M86" i="11"/>
  <c r="M87" i="11"/>
  <c r="M88" i="11"/>
  <c r="M89" i="11"/>
  <c r="M90" i="11"/>
  <c r="M91" i="11"/>
  <c r="M92" i="11"/>
  <c r="M93" i="11"/>
  <c r="M94" i="11"/>
  <c r="M95" i="11"/>
  <c r="M96" i="11"/>
  <c r="M97" i="11"/>
  <c r="M98" i="11"/>
  <c r="M99" i="11"/>
  <c r="M100" i="11"/>
  <c r="M101" i="11"/>
  <c r="M102" i="11"/>
  <c r="M103" i="11"/>
  <c r="M104" i="11"/>
  <c r="M105" i="11"/>
  <c r="M106" i="11"/>
  <c r="M107" i="11"/>
  <c r="M108" i="11"/>
  <c r="M109" i="11"/>
  <c r="M110" i="11"/>
  <c r="M111" i="11"/>
  <c r="M112" i="11"/>
  <c r="M113" i="11"/>
  <c r="M114" i="11"/>
  <c r="M115" i="11"/>
  <c r="M116" i="11"/>
  <c r="M117" i="11"/>
  <c r="M118" i="11"/>
  <c r="M119" i="11"/>
  <c r="M120" i="11"/>
  <c r="M121" i="11"/>
  <c r="M122" i="11"/>
  <c r="M123" i="11"/>
  <c r="M124" i="11"/>
  <c r="M125" i="11"/>
  <c r="M126" i="11"/>
  <c r="M127" i="11"/>
  <c r="M128" i="11"/>
  <c r="M129" i="11"/>
  <c r="M130" i="11"/>
  <c r="M131" i="11"/>
  <c r="M132" i="11"/>
  <c r="M133" i="11"/>
  <c r="M134" i="11"/>
  <c r="M135" i="11"/>
  <c r="M136" i="11"/>
  <c r="M137" i="11"/>
  <c r="M138" i="11"/>
  <c r="M139" i="11"/>
  <c r="M140" i="11"/>
  <c r="M141" i="11"/>
  <c r="M142" i="11"/>
  <c r="M143" i="11"/>
  <c r="M144" i="11"/>
  <c r="M145" i="11"/>
  <c r="M146" i="11"/>
  <c r="M147" i="11"/>
  <c r="M148" i="11"/>
  <c r="M149" i="11"/>
  <c r="M150" i="11"/>
  <c r="M151" i="11"/>
  <c r="M152" i="11"/>
  <c r="M153" i="11"/>
  <c r="M154" i="11"/>
  <c r="M155" i="11"/>
  <c r="M156" i="11"/>
  <c r="M157" i="11"/>
  <c r="M158" i="11"/>
  <c r="M159" i="11"/>
  <c r="M160" i="11"/>
  <c r="M161" i="11"/>
  <c r="M162" i="11"/>
  <c r="M163" i="11"/>
  <c r="M164" i="11"/>
  <c r="M165" i="11"/>
  <c r="M166" i="11"/>
  <c r="M167" i="11"/>
  <c r="M168" i="11"/>
  <c r="M169" i="11"/>
  <c r="M170" i="11"/>
  <c r="M171" i="11"/>
  <c r="M172" i="11"/>
  <c r="M173" i="11"/>
  <c r="M174" i="11"/>
  <c r="M175" i="11"/>
  <c r="M176" i="11"/>
  <c r="M177" i="11"/>
  <c r="M178" i="11"/>
  <c r="M179" i="11"/>
  <c r="M180" i="11"/>
  <c r="M181" i="11"/>
  <c r="M182" i="11"/>
  <c r="M183" i="11"/>
  <c r="M184" i="11"/>
  <c r="M185" i="11"/>
  <c r="M186" i="11"/>
  <c r="M187" i="11"/>
  <c r="M188" i="11"/>
  <c r="M189" i="11"/>
  <c r="M190" i="11"/>
  <c r="M191" i="11"/>
  <c r="M192" i="11"/>
  <c r="M193" i="11"/>
  <c r="M194" i="11"/>
  <c r="M195" i="11"/>
  <c r="M196" i="11"/>
  <c r="M197" i="11"/>
  <c r="M198" i="11"/>
  <c r="M199" i="11"/>
  <c r="M200" i="11"/>
  <c r="M201" i="11"/>
  <c r="M202" i="11"/>
  <c r="M203" i="11"/>
  <c r="M204" i="11"/>
  <c r="M205" i="11"/>
  <c r="M206" i="11"/>
  <c r="M207" i="11"/>
  <c r="M208" i="11"/>
  <c r="M209" i="11"/>
  <c r="M210" i="11"/>
  <c r="M211" i="11"/>
  <c r="M212" i="11"/>
  <c r="M213" i="11"/>
  <c r="M214" i="11"/>
  <c r="M215" i="11"/>
  <c r="M216" i="11"/>
  <c r="M217" i="11"/>
  <c r="M218" i="11"/>
  <c r="M219" i="11"/>
  <c r="M220" i="11"/>
  <c r="M221" i="11"/>
  <c r="M222" i="11"/>
  <c r="M223" i="11"/>
  <c r="M224" i="11"/>
  <c r="M225" i="11"/>
  <c r="M226" i="11"/>
  <c r="M227" i="11"/>
  <c r="M228" i="11"/>
  <c r="M229" i="11"/>
  <c r="M230" i="11"/>
  <c r="M231" i="11"/>
  <c r="M232" i="11"/>
  <c r="M233" i="11"/>
  <c r="M234" i="11"/>
  <c r="M235" i="11"/>
  <c r="M236" i="11"/>
  <c r="M237" i="11"/>
  <c r="M238" i="11"/>
  <c r="M239" i="11"/>
  <c r="M240" i="11"/>
  <c r="M241" i="11"/>
  <c r="M242" i="11"/>
  <c r="M243" i="11"/>
  <c r="M244" i="11"/>
  <c r="M245" i="11"/>
  <c r="M246" i="11"/>
  <c r="M247" i="11"/>
  <c r="M248" i="11"/>
  <c r="M249" i="11"/>
  <c r="M250" i="11"/>
  <c r="M251" i="11"/>
  <c r="M252" i="11"/>
  <c r="M253" i="11"/>
  <c r="M254" i="11"/>
  <c r="M255" i="11"/>
  <c r="M256" i="11"/>
  <c r="M257" i="11"/>
  <c r="M258" i="11"/>
  <c r="M259" i="11"/>
  <c r="M260" i="11"/>
  <c r="M261" i="11"/>
  <c r="M262" i="11"/>
  <c r="M263" i="11"/>
  <c r="M264" i="11"/>
  <c r="M265" i="11"/>
  <c r="M266" i="11"/>
  <c r="M267" i="11"/>
  <c r="M268" i="11"/>
  <c r="M269" i="11"/>
  <c r="M270" i="11"/>
  <c r="M271" i="11"/>
  <c r="M272" i="11"/>
  <c r="M273" i="11"/>
  <c r="M274" i="11"/>
  <c r="M275" i="11"/>
  <c r="M276" i="11"/>
  <c r="M277" i="11"/>
  <c r="M278" i="11"/>
  <c r="M279" i="11"/>
  <c r="M280" i="11"/>
  <c r="M281" i="11"/>
  <c r="M282" i="11"/>
  <c r="M283" i="11"/>
  <c r="M284" i="11"/>
  <c r="M285" i="11"/>
  <c r="M286" i="11"/>
  <c r="M287" i="11"/>
  <c r="M288" i="11"/>
  <c r="M289" i="11"/>
  <c r="M290" i="11"/>
  <c r="M291" i="11"/>
  <c r="M292" i="11"/>
  <c r="M293" i="11"/>
  <c r="M294" i="11"/>
  <c r="M295" i="11"/>
  <c r="M296" i="11"/>
  <c r="M297" i="11"/>
  <c r="M298" i="11"/>
  <c r="M299" i="11"/>
  <c r="M300" i="11"/>
  <c r="M301" i="11"/>
  <c r="M302" i="11"/>
  <c r="M303" i="11"/>
  <c r="M304" i="11"/>
  <c r="M305" i="11"/>
  <c r="M306" i="11"/>
  <c r="M307" i="11"/>
  <c r="M308" i="11"/>
  <c r="M309" i="11"/>
  <c r="M310" i="11"/>
  <c r="M311" i="11"/>
  <c r="M312" i="11"/>
  <c r="M313" i="11"/>
  <c r="M314" i="11"/>
  <c r="M315" i="11"/>
  <c r="M316" i="11"/>
  <c r="M317" i="11"/>
  <c r="M318" i="11"/>
  <c r="M319" i="11"/>
  <c r="M320" i="11"/>
  <c r="M321" i="11"/>
  <c r="M322" i="11"/>
  <c r="M323" i="11"/>
  <c r="M324" i="11"/>
  <c r="M325" i="11"/>
  <c r="M326" i="11"/>
  <c r="M327" i="11"/>
  <c r="M328" i="11"/>
  <c r="M329" i="11"/>
  <c r="M330" i="11"/>
  <c r="M331" i="11"/>
  <c r="M332" i="11"/>
  <c r="M333" i="11"/>
  <c r="M334" i="11"/>
  <c r="M335" i="11"/>
  <c r="M336" i="11"/>
  <c r="M337" i="11"/>
  <c r="M338" i="11"/>
  <c r="M339" i="11"/>
  <c r="M340" i="11"/>
  <c r="M341" i="11"/>
  <c r="M342" i="11"/>
  <c r="M343" i="11"/>
  <c r="M344" i="11"/>
  <c r="M345" i="11"/>
  <c r="M346" i="11"/>
  <c r="M347" i="11"/>
  <c r="M348" i="11"/>
  <c r="M349" i="11"/>
  <c r="M350" i="11"/>
  <c r="M351" i="11"/>
  <c r="M352" i="11"/>
  <c r="M353" i="11"/>
  <c r="M354" i="11"/>
  <c r="M355" i="11"/>
  <c r="M356" i="11"/>
  <c r="M357" i="11"/>
  <c r="M358" i="11"/>
  <c r="M359" i="11"/>
  <c r="M360" i="11"/>
  <c r="M361" i="11"/>
  <c r="M362" i="11"/>
  <c r="M363" i="11"/>
  <c r="M364" i="11"/>
  <c r="M365" i="11"/>
  <c r="M366" i="11"/>
  <c r="M367" i="11"/>
  <c r="M368" i="11"/>
  <c r="M369" i="11"/>
  <c r="M370" i="11"/>
  <c r="M371" i="11"/>
  <c r="M372" i="11"/>
  <c r="M373" i="11"/>
  <c r="M374" i="11"/>
  <c r="M375" i="11"/>
  <c r="M376" i="11"/>
  <c r="M377" i="11"/>
  <c r="M378" i="11"/>
  <c r="M379" i="11"/>
  <c r="M380" i="11"/>
  <c r="M381" i="11"/>
  <c r="M382" i="11"/>
  <c r="M383" i="11"/>
  <c r="M384" i="11"/>
  <c r="M385" i="11"/>
  <c r="M386" i="11"/>
  <c r="M387" i="11"/>
  <c r="M388" i="11"/>
  <c r="M389" i="11"/>
  <c r="M390" i="11"/>
  <c r="M391" i="11"/>
  <c r="M392" i="11"/>
  <c r="M393" i="11"/>
  <c r="M394" i="11"/>
  <c r="M395" i="11"/>
  <c r="M396" i="11"/>
  <c r="M397" i="11"/>
  <c r="M398" i="11"/>
  <c r="M399" i="11"/>
  <c r="M400" i="11"/>
  <c r="M401" i="11"/>
  <c r="M402" i="11"/>
  <c r="M403" i="11"/>
  <c r="M404" i="11"/>
  <c r="M405" i="11"/>
  <c r="M406" i="11"/>
  <c r="M407" i="11"/>
  <c r="M408" i="11"/>
  <c r="M409" i="11"/>
  <c r="M410" i="11"/>
  <c r="M411" i="11"/>
  <c r="M412" i="11"/>
  <c r="M413" i="11"/>
  <c r="M414" i="11"/>
  <c r="M415" i="11"/>
  <c r="M416" i="11"/>
  <c r="M417" i="11"/>
  <c r="M418" i="11"/>
  <c r="M419" i="11"/>
  <c r="M420" i="11"/>
  <c r="M421" i="11"/>
  <c r="M422" i="11"/>
  <c r="M423" i="11"/>
  <c r="M424" i="11"/>
  <c r="M425" i="11"/>
  <c r="M426" i="11"/>
  <c r="M427" i="11"/>
  <c r="M428" i="11"/>
  <c r="M429" i="11"/>
  <c r="M430" i="11"/>
  <c r="M431" i="11"/>
  <c r="M432" i="11"/>
  <c r="M433" i="11"/>
  <c r="M434" i="11"/>
  <c r="M435" i="11"/>
  <c r="M436" i="11"/>
  <c r="M437" i="11"/>
  <c r="M438" i="11"/>
  <c r="M439" i="11"/>
  <c r="M440" i="11"/>
  <c r="M441" i="11"/>
  <c r="M442" i="11"/>
  <c r="M443" i="11"/>
  <c r="M444" i="11"/>
  <c r="M445" i="11"/>
  <c r="M446" i="11"/>
  <c r="M447" i="11"/>
  <c r="M448" i="11"/>
  <c r="M449" i="11"/>
  <c r="M450" i="11"/>
  <c r="M451" i="11"/>
  <c r="M452" i="11"/>
  <c r="M453" i="11"/>
  <c r="M454" i="11"/>
  <c r="M455" i="11"/>
  <c r="M456" i="11"/>
  <c r="M457" i="11"/>
  <c r="M458" i="11"/>
  <c r="M459" i="11"/>
  <c r="M460" i="11"/>
  <c r="M461" i="11"/>
  <c r="M462" i="11"/>
  <c r="M463" i="11"/>
  <c r="M464" i="11"/>
  <c r="M465" i="11"/>
  <c r="M466" i="11"/>
  <c r="M467" i="11"/>
  <c r="M468" i="11"/>
  <c r="M469" i="11"/>
  <c r="M470" i="11"/>
  <c r="M471" i="11"/>
  <c r="M472" i="11"/>
  <c r="M473" i="11"/>
  <c r="M474" i="11"/>
  <c r="M475" i="11"/>
  <c r="M476" i="11"/>
  <c r="M477" i="11"/>
  <c r="M478" i="11"/>
  <c r="M479" i="11"/>
  <c r="M480" i="11"/>
  <c r="M481" i="11"/>
  <c r="M482" i="11"/>
  <c r="M483" i="11"/>
  <c r="M484" i="11"/>
  <c r="M485" i="11"/>
  <c r="M486" i="11"/>
  <c r="M487" i="11"/>
  <c r="M488" i="11"/>
  <c r="M489" i="11"/>
  <c r="M490" i="11"/>
  <c r="M491" i="11"/>
  <c r="M492" i="11"/>
  <c r="M493" i="11"/>
  <c r="M494" i="11"/>
  <c r="M495" i="11"/>
  <c r="M496" i="11"/>
  <c r="M497" i="11"/>
  <c r="M498" i="11"/>
  <c r="M499" i="11"/>
  <c r="M500" i="11"/>
  <c r="M50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9985C2-E19A-4981-AE76-8299A507D68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E940DC0-88EC-43CB-9B55-00D7CC370E86}" name="WorksheetConnection_Stock Market Analysis.xlsx!Table11" type="102" refreshedVersion="8" minRefreshableVersion="5">
    <extLst>
      <ext xmlns:x15="http://schemas.microsoft.com/office/spreadsheetml/2010/11/main" uri="{DE250136-89BD-433C-8126-D09CA5730AF9}">
        <x15:connection id="Table11" autoDelete="1">
          <x15:rangePr sourceName="_xlcn.WorksheetConnection_StockMarketAnalysis.xlsxTable11"/>
        </x15:connection>
      </ext>
    </extLst>
  </connection>
  <connection id="3" xr16:uid="{9887E60D-59CD-4321-9C6B-6F956A832EB7}" name="WorksheetConnection_Stock Market Analysis.xlsx!Table3" type="102" refreshedVersion="8" minRefreshableVersion="5">
    <extLst>
      <ext xmlns:x15="http://schemas.microsoft.com/office/spreadsheetml/2010/11/main" uri="{DE250136-89BD-433C-8126-D09CA5730AF9}">
        <x15:connection id="Table3">
          <x15:rangePr sourceName="_xlcn.WorksheetConnection_StockMarketAnalysis.xlsxTable3"/>
        </x15:connection>
      </ext>
    </extLst>
  </connection>
  <connection id="4" xr16:uid="{65EE4DAF-98A9-4581-9558-E6590F8F629B}" name="WorksheetConnection_Stock Market Analysis.xlsx!Table7" type="102" refreshedVersion="8" minRefreshableVersion="5">
    <extLst>
      <ext xmlns:x15="http://schemas.microsoft.com/office/spreadsheetml/2010/11/main" uri="{DE250136-89BD-433C-8126-D09CA5730AF9}">
        <x15:connection id="Table7" autoDelete="1">
          <x15:rangePr sourceName="_xlcn.WorksheetConnection_StockMarketAnalysis.xlsxTable7"/>
        </x15:connection>
      </ext>
    </extLst>
  </connection>
</connections>
</file>

<file path=xl/sharedStrings.xml><?xml version="1.0" encoding="utf-8"?>
<sst xmlns="http://schemas.openxmlformats.org/spreadsheetml/2006/main" count="7889" uniqueCount="1191">
  <si>
    <t>exchange_id</t>
  </si>
  <si>
    <t>exchange_name</t>
  </si>
  <si>
    <t>country</t>
  </si>
  <si>
    <t>currency</t>
  </si>
  <si>
    <t>EXCH01</t>
  </si>
  <si>
    <t>NSE</t>
  </si>
  <si>
    <t>India</t>
  </si>
  <si>
    <t>INR</t>
  </si>
  <si>
    <t>EXCH02</t>
  </si>
  <si>
    <t>NASDAQ</t>
  </si>
  <si>
    <t>USA</t>
  </si>
  <si>
    <t>USD</t>
  </si>
  <si>
    <t>sector_id</t>
  </si>
  <si>
    <t>sector_name</t>
  </si>
  <si>
    <t>SEC01</t>
  </si>
  <si>
    <t>Information Technology</t>
  </si>
  <si>
    <t>SEC02</t>
  </si>
  <si>
    <t>Financials</t>
  </si>
  <si>
    <t>SEC03</t>
  </si>
  <si>
    <t>Healthcare</t>
  </si>
  <si>
    <t>SEC04</t>
  </si>
  <si>
    <t>Energy</t>
  </si>
  <si>
    <t>SEC05</t>
  </si>
  <si>
    <t>Consumer Discretionary</t>
  </si>
  <si>
    <t>company_id</t>
  </si>
  <si>
    <t>ticker</t>
  </si>
  <si>
    <t>company_name</t>
  </si>
  <si>
    <t>COMP001</t>
  </si>
  <si>
    <t>TCS</t>
  </si>
  <si>
    <t>COMP002</t>
  </si>
  <si>
    <t>INFY</t>
  </si>
  <si>
    <t>Infosys</t>
  </si>
  <si>
    <t>COMP003</t>
  </si>
  <si>
    <t>HDFCBANK</t>
  </si>
  <si>
    <t>HDFC Bank</t>
  </si>
  <si>
    <t>COMP004</t>
  </si>
  <si>
    <t>RELIANCE</t>
  </si>
  <si>
    <t>COMP005</t>
  </si>
  <si>
    <t>AAPL</t>
  </si>
  <si>
    <t>COMP006</t>
  </si>
  <si>
    <t>MSFT</t>
  </si>
  <si>
    <t>COMP007</t>
  </si>
  <si>
    <t>AMZN</t>
  </si>
  <si>
    <t>COMP008</t>
  </si>
  <si>
    <t>PFE</t>
  </si>
  <si>
    <t>trader_id</t>
  </si>
  <si>
    <t>trader_name</t>
  </si>
  <si>
    <t>desk</t>
  </si>
  <si>
    <t>TRD000001</t>
  </si>
  <si>
    <t>Taylor Shah</t>
  </si>
  <si>
    <t>Momentum</t>
  </si>
  <si>
    <t>TRD000002</t>
  </si>
  <si>
    <t>Drew Williams</t>
  </si>
  <si>
    <t>Alpha</t>
  </si>
  <si>
    <t>TRD000003</t>
  </si>
  <si>
    <t>Avery Garcia</t>
  </si>
  <si>
    <t>Discretionary</t>
  </si>
  <si>
    <t>TRD000004</t>
  </si>
  <si>
    <t>Taylor Harris</t>
  </si>
  <si>
    <t>Quant</t>
  </si>
  <si>
    <t>TRD000005</t>
  </si>
  <si>
    <t>Jordan Clark</t>
  </si>
  <si>
    <t>TRD000006</t>
  </si>
  <si>
    <t>Reese Patel</t>
  </si>
  <si>
    <t>TRD000007</t>
  </si>
  <si>
    <t>Alex Lee</t>
  </si>
  <si>
    <t>TRD000008</t>
  </si>
  <si>
    <t>Morgan Williams</t>
  </si>
  <si>
    <t>TRD000009</t>
  </si>
  <si>
    <t>Robin Lewis</t>
  </si>
  <si>
    <t>TRD000010</t>
  </si>
  <si>
    <t>Alex Harris</t>
  </si>
  <si>
    <t>TRD000011</t>
  </si>
  <si>
    <t>Morgan Harris</t>
  </si>
  <si>
    <t>TRD000012</t>
  </si>
  <si>
    <t>Reese Williams</t>
  </si>
  <si>
    <t>TRD000013</t>
  </si>
  <si>
    <t>Rowan Clark</t>
  </si>
  <si>
    <t>TRD000014</t>
  </si>
  <si>
    <t>Drew Shah</t>
  </si>
  <si>
    <t>TRD000015</t>
  </si>
  <si>
    <t>Jamie Anderson</t>
  </si>
  <si>
    <t>TRD000016</t>
  </si>
  <si>
    <t>Hayden Brown</t>
  </si>
  <si>
    <t>TRD000017</t>
  </si>
  <si>
    <t>Casey Khan</t>
  </si>
  <si>
    <t>TRD000018</t>
  </si>
  <si>
    <t>Hayden Nguyen</t>
  </si>
  <si>
    <t>TRD000019</t>
  </si>
  <si>
    <t>Jordan Wilson</t>
  </si>
  <si>
    <t>TRD000020</t>
  </si>
  <si>
    <t>Taylor Miller</t>
  </si>
  <si>
    <t>TRD000021</t>
  </si>
  <si>
    <t>Elliot Lewis</t>
  </si>
  <si>
    <t>TRD000022</t>
  </si>
  <si>
    <t>Drew Patel</t>
  </si>
  <si>
    <t>TRD000023</t>
  </si>
  <si>
    <t>Rowan Harris</t>
  </si>
  <si>
    <t>TRD000024</t>
  </si>
  <si>
    <t>Taylor Wilson</t>
  </si>
  <si>
    <t>TRD000025</t>
  </si>
  <si>
    <t>Jordan Harris</t>
  </si>
  <si>
    <t>TRD000026</t>
  </si>
  <si>
    <t>Riley Lewis</t>
  </si>
  <si>
    <t>TRD000027</t>
  </si>
  <si>
    <t>Elliot Clark</t>
  </si>
  <si>
    <t>TRD000028</t>
  </si>
  <si>
    <t>Morgan Lee</t>
  </si>
  <si>
    <t>TRD000029</t>
  </si>
  <si>
    <t>Sam Williams</t>
  </si>
  <si>
    <t>TRD000030</t>
  </si>
  <si>
    <t>Riley Lee</t>
  </si>
  <si>
    <t>portfolio_id</t>
  </si>
  <si>
    <t>portfolio_name</t>
  </si>
  <si>
    <t>manager</t>
  </si>
  <si>
    <t>PF000001</t>
  </si>
  <si>
    <t>Portfolio 1</t>
  </si>
  <si>
    <t>Skyler Wilson</t>
  </si>
  <si>
    <t>PF000002</t>
  </si>
  <si>
    <t>Portfolio 2</t>
  </si>
  <si>
    <t>Rowan Garcia</t>
  </si>
  <si>
    <t>PF000003</t>
  </si>
  <si>
    <t>Portfolio 3</t>
  </si>
  <si>
    <t>Drew Garcia</t>
  </si>
  <si>
    <t>PF000004</t>
  </si>
  <si>
    <t>Portfolio 4</t>
  </si>
  <si>
    <t>Avery Harris</t>
  </si>
  <si>
    <t>PF000005</t>
  </si>
  <si>
    <t>Portfolio 5</t>
  </si>
  <si>
    <t>Kai Brown</t>
  </si>
  <si>
    <t>PF000006</t>
  </si>
  <si>
    <t>Portfolio 6</t>
  </si>
  <si>
    <t>Kendall Anderson</t>
  </si>
  <si>
    <t>PF000007</t>
  </si>
  <si>
    <t>Portfolio 7</t>
  </si>
  <si>
    <t>Kendall Wilson</t>
  </si>
  <si>
    <t>PF000008</t>
  </si>
  <si>
    <t>Portfolio 8</t>
  </si>
  <si>
    <t>Elliot Williams</t>
  </si>
  <si>
    <t>PF000009</t>
  </si>
  <si>
    <t>Portfolio 9</t>
  </si>
  <si>
    <t>Casey White</t>
  </si>
  <si>
    <t>PF000010</t>
  </si>
  <si>
    <t>Portfolio 10</t>
  </si>
  <si>
    <t>Skyler Lee</t>
  </si>
  <si>
    <t>date</t>
  </si>
  <si>
    <t>open</t>
  </si>
  <si>
    <t>high</t>
  </si>
  <si>
    <t>low</t>
  </si>
  <si>
    <t>close</t>
  </si>
  <si>
    <t>volume</t>
  </si>
  <si>
    <t>dividend_per_share</t>
  </si>
  <si>
    <t>split_ratio</t>
  </si>
  <si>
    <t>order_id</t>
  </si>
  <si>
    <t>order_ts</t>
  </si>
  <si>
    <t>side</t>
  </si>
  <si>
    <t>quantity</t>
  </si>
  <si>
    <t>status</t>
  </si>
  <si>
    <t>order_type</t>
  </si>
  <si>
    <t>limit_price</t>
  </si>
  <si>
    <t>ORD00001</t>
  </si>
  <si>
    <t>BUY</t>
  </si>
  <si>
    <t>FILLED</t>
  </si>
  <si>
    <t>MARKET</t>
  </si>
  <si>
    <t>ORD00002</t>
  </si>
  <si>
    <t>ORD00003</t>
  </si>
  <si>
    <t>SELL</t>
  </si>
  <si>
    <t>ORD00004</t>
  </si>
  <si>
    <t>ORD00005</t>
  </si>
  <si>
    <t>ORD00006</t>
  </si>
  <si>
    <t>ORD00007</t>
  </si>
  <si>
    <t>ORD00008</t>
  </si>
  <si>
    <t>ORD00009</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</si>
  <si>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</si>
  <si>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</si>
  <si>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</si>
  <si>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</si>
  <si>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</si>
  <si>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</si>
  <si>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</si>
  <si>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</si>
  <si>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</si>
  <si>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</si>
  <si>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</si>
  <si>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</si>
  <si>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</si>
  <si>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</si>
  <si>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</si>
  <si>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</si>
  <si>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</si>
  <si>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</si>
  <si>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</si>
  <si>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</si>
  <si>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</si>
  <si>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</si>
  <si>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</si>
  <si>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</si>
  <si>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</si>
  <si>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</si>
  <si>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</si>
  <si>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</si>
  <si>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</si>
  <si>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</si>
  <si>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</si>
  <si>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</si>
  <si>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</si>
  <si>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</si>
  <si>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</si>
  <si>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</si>
  <si>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</si>
  <si>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</si>
  <si>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</si>
  <si>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</si>
  <si>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</si>
  <si>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</si>
  <si>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</si>
  <si>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</si>
  <si>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</si>
  <si>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</si>
  <si>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</si>
  <si>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</si>
  <si>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</si>
  <si>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</si>
  <si>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</si>
  <si>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</si>
  <si>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</si>
  <si>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</si>
  <si>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</si>
  <si>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</si>
  <si>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</si>
  <si>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</si>
  <si>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</si>
  <si>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</si>
  <si>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</si>
  <si>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</si>
  <si>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</si>
  <si>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</si>
  <si>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</si>
  <si>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</si>
  <si>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</si>
  <si>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</si>
  <si>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</si>
  <si>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</si>
  <si>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</si>
  <si>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</si>
  <si>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</si>
  <si>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</si>
  <si>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</si>
  <si>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</si>
  <si>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</si>
  <si>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</si>
  <si>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</si>
  <si>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</si>
  <si>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</si>
  <si>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</si>
  <si>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</si>
  <si>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</si>
  <si>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</si>
  <si>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</si>
  <si>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</si>
  <si>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</si>
  <si>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</si>
  <si>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</si>
  <si>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</si>
  <si>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</si>
  <si>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</si>
  <si>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</si>
  <si>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</si>
  <si>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</si>
  <si>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</si>
  <si>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</si>
  <si>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</si>
  <si>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</si>
  <si>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</si>
  <si>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</si>
  <si>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</si>
  <si>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</si>
  <si>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</si>
  <si>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</si>
  <si>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</si>
  <si>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</si>
  <si>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</si>
  <si>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</si>
  <si>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</si>
  <si>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</si>
  <si>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</si>
  <si>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</si>
  <si>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</si>
  <si>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</si>
  <si>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</si>
  <si>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</si>
  <si>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</si>
  <si>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</si>
  <si>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</si>
  <si>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</si>
  <si>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</si>
  <si>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</si>
  <si>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</si>
  <si>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</si>
  <si>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</si>
  <si>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</si>
  <si>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</si>
  <si>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</si>
  <si>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</si>
  <si>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</si>
  <si>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</si>
  <si>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</si>
  <si>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</si>
  <si>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</si>
  <si>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</si>
  <si>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</si>
  <si>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</si>
  <si>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</si>
  <si>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</si>
  <si>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</si>
  <si>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</si>
  <si>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</si>
  <si>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</si>
  <si>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</si>
  <si>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</si>
  <si>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</si>
  <si>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</si>
  <si>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</si>
  <si>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</si>
  <si>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</si>
  <si>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</si>
  <si>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</si>
  <si>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</si>
  <si>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</si>
  <si>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</si>
  <si>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</si>
  <si>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</si>
  <si>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</si>
  <si>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</si>
  <si>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</si>
  <si>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</si>
  <si>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</si>
  <si>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</si>
  <si>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</si>
  <si>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</si>
  <si>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</si>
  <si>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</si>
  <si>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</si>
  <si>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</si>
  <si>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</si>
  <si>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</si>
  <si>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</si>
  <si>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</si>
  <si>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</si>
  <si>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</si>
  <si>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</si>
  <si>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</si>
  <si>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</si>
  <si>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</si>
  <si>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</si>
  <si>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</si>
  <si>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</si>
  <si>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</si>
  <si>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</si>
  <si>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</si>
  <si>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</si>
  <si>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</si>
  <si>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</si>
  <si>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</si>
  <si>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</si>
  <si>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</si>
  <si>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</si>
  <si>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</si>
  <si>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</si>
  <si>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</si>
  <si>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</si>
  <si>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</si>
  <si>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</si>
  <si>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</si>
  <si>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</si>
  <si>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</si>
  <si>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</si>
  <si>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</si>
  <si>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</si>
  <si>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</si>
  <si>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</si>
  <si>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</si>
  <si>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</si>
  <si>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</si>
  <si>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</si>
  <si>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</si>
  <si>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</si>
  <si>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</si>
  <si>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</si>
  <si>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</si>
  <si>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</si>
  <si>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</si>
  <si>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</si>
  <si>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</si>
  <si>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</si>
  <si>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</si>
  <si>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</si>
  <si>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</si>
  <si>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</si>
  <si>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</si>
  <si>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</si>
  <si>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</si>
  <si>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</si>
  <si>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</si>
  <si>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</si>
  <si>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</si>
  <si>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</si>
  <si>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</si>
  <si>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</si>
  <si>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</si>
  <si>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</si>
  <si>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</si>
  <si>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</si>
  <si>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</si>
  <si>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</si>
  <si>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</si>
  <si>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</si>
  <si>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</si>
  <si>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</si>
  <si>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</si>
  <si>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</si>
  <si>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</si>
  <si>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</si>
  <si>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</si>
  <si>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</si>
  <si>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</si>
  <si>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</si>
  <si>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</si>
  <si>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</si>
  <si>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</si>
  <si>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</si>
  <si>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</si>
  <si>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</si>
  <si>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</si>
  <si>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</si>
  <si>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</si>
  <si>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</si>
  <si>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</si>
  <si>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</si>
  <si>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</si>
  <si>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</si>
  <si>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</si>
  <si>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</si>
  <si>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</si>
  <si>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</si>
  <si>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</si>
  <si>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</si>
  <si>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</si>
  <si>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</si>
  <si>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</si>
  <si>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</si>
  <si>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</si>
  <si>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</si>
  <si>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</si>
  <si>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</si>
  <si>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</si>
  <si>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</si>
  <si>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</si>
  <si>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</si>
  <si>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</si>
  <si>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</si>
  <si>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</si>
  <si>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</si>
  <si>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</si>
  <si>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</si>
  <si>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</si>
  <si>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</si>
  <si>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</si>
  <si>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</si>
  <si>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</si>
  <si>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</si>
  <si>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</si>
  <si>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</si>
  <si>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</si>
  <si>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</si>
  <si>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</si>
  <si>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</si>
  <si>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</si>
  <si>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</si>
  <si>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</si>
  <si>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</si>
  <si>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</si>
  <si>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</si>
  <si>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</si>
  <si>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</si>
  <si>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</si>
  <si>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</si>
  <si>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</si>
  <si>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</si>
  <si>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</si>
  <si>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</si>
  <si>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</si>
  <si>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</si>
  <si>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</si>
  <si>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</si>
  <si>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</si>
  <si>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</si>
  <si>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</si>
  <si>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</si>
  <si>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</si>
  <si>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</si>
  <si>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</si>
  <si>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</si>
  <si>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</si>
  <si>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</si>
  <si>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</si>
  <si>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</si>
  <si>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</si>
  <si>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</si>
  <si>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</si>
  <si>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</si>
  <si>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</si>
  <si>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</si>
  <si>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</si>
  <si>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</si>
  <si>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</si>
  <si>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</si>
  <si>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</si>
  <si>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</si>
  <si>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</si>
  <si>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</si>
  <si>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</si>
  <si>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</si>
  <si>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</si>
  <si>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</si>
  <si>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</si>
  <si>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</si>
  <si>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</si>
  <si>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</si>
  <si>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</si>
  <si>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</si>
  <si>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</si>
  <si>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</si>
  <si>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</si>
  <si>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</si>
  <si>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</si>
  <si>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</si>
  <si>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</si>
  <si>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</si>
  <si>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</si>
  <si>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</si>
  <si>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</si>
  <si>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</si>
  <si>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</si>
  <si>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</si>
  <si>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</si>
  <si>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</si>
  <si>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</si>
  <si>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</si>
  <si>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</si>
  <si>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</si>
  <si>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</si>
  <si>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</si>
  <si>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</si>
  <si>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</si>
  <si>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</si>
  <si>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</si>
  <si>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</si>
  <si>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</si>
  <si>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</si>
  <si>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</si>
  <si>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</si>
  <si>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</si>
  <si>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</si>
  <si>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</si>
  <si>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</si>
  <si>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</si>
  <si>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</si>
  <si>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</si>
  <si>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</si>
  <si>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</si>
  <si>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</si>
  <si>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</si>
  <si>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</si>
  <si>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</si>
  <si>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</si>
  <si>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</si>
  <si>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</si>
  <si>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</si>
  <si>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</si>
  <si>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</si>
  <si>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</si>
  <si>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</si>
  <si>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</si>
  <si>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</si>
  <si>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</si>
  <si>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</si>
  <si>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</si>
  <si>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</si>
  <si>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</si>
  <si>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</si>
  <si>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</si>
  <si>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</si>
  <si>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</si>
  <si>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</si>
  <si>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</si>
  <si>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</si>
  <si>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</si>
  <si>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</si>
  <si>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</si>
  <si>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</si>
  <si>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</si>
  <si>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</si>
  <si>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</si>
  <si>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</si>
  <si>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</si>
  <si>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</si>
  <si>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</si>
  <si>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</si>
  <si>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</si>
  <si>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</si>
  <si>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</si>
  <si>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</si>
  <si>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</si>
  <si>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</si>
  <si>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</si>
  <si>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</si>
  <si>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</si>
  <si>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</si>
  <si>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</si>
  <si>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</si>
  <si>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</si>
  <si>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</si>
  <si>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</si>
  <si>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</si>
  <si>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</si>
  <si>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</si>
  <si>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</si>
  <si>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</si>
  <si>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</si>
  <si>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</si>
  <si>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</si>
  <si>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</si>
  <si>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</si>
  <si>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</si>
  <si>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</si>
  <si>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</si>
  <si>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</si>
  <si>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</si>
  <si>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</si>
  <si>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</si>
  <si>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</si>
  <si>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</si>
  <si>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</si>
  <si>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</si>
  <si>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</si>
  <si>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</si>
  <si>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</si>
  <si>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</si>
  <si>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</si>
  <si>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</si>
  <si>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</si>
  <si>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</si>
  <si>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</si>
  <si>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</si>
  <si>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</si>
  <si>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</si>
  <si>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</si>
  <si>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</si>
  <si>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</si>
  <si>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</si>
  <si>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</si>
  <si>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</si>
  <si>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</si>
  <si>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trade_id</t>
  </si>
  <si>
    <t>trade_ts</t>
  </si>
  <si>
    <t>price</t>
  </si>
  <si>
    <t>fees</t>
  </si>
  <si>
    <t>TR_SYN_0000001</t>
  </si>
  <si>
    <t>TR_SYN_0000002</t>
  </si>
  <si>
    <t>TR_SYN_0000003</t>
  </si>
  <si>
    <t>TR_SYN_0000004</t>
  </si>
  <si>
    <t>TR_SYN_0000005</t>
  </si>
  <si>
    <t>TR_SYN_0000006</t>
  </si>
  <si>
    <t>TR_SYN_0000007</t>
  </si>
  <si>
    <t>TR_SYN_0000008</t>
  </si>
  <si>
    <t>TR_SYN_0000009</t>
  </si>
  <si>
    <t>TR_SYN_0000010</t>
  </si>
  <si>
    <t>TR_SYN_0000011</t>
  </si>
  <si>
    <t>TR_SYN_0000012</t>
  </si>
  <si>
    <t>TR_SYN_0000013</t>
  </si>
  <si>
    <t>TR_SYN_0000014</t>
  </si>
  <si>
    <t>TR_SYN_0000015</t>
  </si>
  <si>
    <t>TR_SYN_0000016</t>
  </si>
  <si>
    <t>TR_SYN_0000017</t>
  </si>
  <si>
    <t>TR_SYN_0000018</t>
  </si>
  <si>
    <t>TR_SYN_0000019</t>
  </si>
  <si>
    <t>TR_SYN_0000020</t>
  </si>
  <si>
    <t>TR_SYN_0000021</t>
  </si>
  <si>
    <t>TR_SYN_0000022</t>
  </si>
  <si>
    <t>TR_SYN_0000023</t>
  </si>
  <si>
    <t>TR_SYN_0000024</t>
  </si>
  <si>
    <t>TR_SYN_0000025</t>
  </si>
  <si>
    <t>TR_SYN_0000026</t>
  </si>
  <si>
    <t>TR_SYN_0000027</t>
  </si>
  <si>
    <t>TR_SYN_0000028</t>
  </si>
  <si>
    <t>TR_SYN_0000029</t>
  </si>
  <si>
    <t>TR_SYN_0000030</t>
  </si>
  <si>
    <t>TR_SYN_0000031</t>
  </si>
  <si>
    <t>TR_SYN_0000032</t>
  </si>
  <si>
    <t>TR_SYN_0000033</t>
  </si>
  <si>
    <t>TR_SYN_0000034</t>
  </si>
  <si>
    <t>TR_SYN_0000035</t>
  </si>
  <si>
    <t>TR_SYN_0000036</t>
  </si>
  <si>
    <t>TR_SYN_0000037</t>
  </si>
  <si>
    <t>TR_SYN_0000038</t>
  </si>
  <si>
    <t>TR_SYN_0000039</t>
  </si>
  <si>
    <t>TR_SYN_0000040</t>
  </si>
  <si>
    <t>TR_SYN_0000041</t>
  </si>
  <si>
    <t>TR_SYN_0000042</t>
  </si>
  <si>
    <t>TR_SYN_0000043</t>
  </si>
  <si>
    <t>TR_SYN_0000044</t>
  </si>
  <si>
    <t>TR_SYN_0000045</t>
  </si>
  <si>
    <t>TR_SYN_0000046</t>
  </si>
  <si>
    <t>TR_SYN_0000047</t>
  </si>
  <si>
    <t>TR_SYN_0000048</t>
  </si>
  <si>
    <t>TR_SYN_0000049</t>
  </si>
  <si>
    <t>TR_SYN_0000050</t>
  </si>
  <si>
    <t>TR_SYN_0000051</t>
  </si>
  <si>
    <t>TR_SYN_0000052</t>
  </si>
  <si>
    <t>TR_SYN_0000053</t>
  </si>
  <si>
    <t>TR_SYN_0000054</t>
  </si>
  <si>
    <t>TR_SYN_0000055</t>
  </si>
  <si>
    <t>TR_SYN_0000056</t>
  </si>
  <si>
    <t>TR_SYN_0000057</t>
  </si>
  <si>
    <t>TR_SYN_0000058</t>
  </si>
  <si>
    <t>TR_SYN_0000059</t>
  </si>
  <si>
    <t>TR_SYN_0000060</t>
  </si>
  <si>
    <t>TR_SYN_0000061</t>
  </si>
  <si>
    <t>TR_SYN_0000062</t>
  </si>
  <si>
    <t>TR_SYN_0000063</t>
  </si>
  <si>
    <t>TR_SYN_0000064</t>
  </si>
  <si>
    <t>TR_SYN_0000065</t>
  </si>
  <si>
    <t>TR_SYN_0000066</t>
  </si>
  <si>
    <t>TR_SYN_0000067</t>
  </si>
  <si>
    <t>TR_SYN_0000068</t>
  </si>
  <si>
    <t>TR_SYN_0000069</t>
  </si>
  <si>
    <t>TR_SYN_0000070</t>
  </si>
  <si>
    <t>TR_SYN_0000071</t>
  </si>
  <si>
    <t>TR_SYN_0000072</t>
  </si>
  <si>
    <t>TR_SYN_0000073</t>
  </si>
  <si>
    <t>TR_SYN_0000074</t>
  </si>
  <si>
    <t>TR_SYN_0000075</t>
  </si>
  <si>
    <t>TR_SYN_0000076</t>
  </si>
  <si>
    <t>TR_SYN_0000077</t>
  </si>
  <si>
    <t>TR_SYN_0000078</t>
  </si>
  <si>
    <t>TR_SYN_0000079</t>
  </si>
  <si>
    <t>TR_SYN_0000080</t>
  </si>
  <si>
    <t>TR_SYN_0000081</t>
  </si>
  <si>
    <t>TR_SYN_0000082</t>
  </si>
  <si>
    <t>TR_SYN_0000083</t>
  </si>
  <si>
    <t>TR_SYN_0000084</t>
  </si>
  <si>
    <t>TR_SYN_0000085</t>
  </si>
  <si>
    <t>TR_SYN_0000086</t>
  </si>
  <si>
    <t>TR_SYN_0000087</t>
  </si>
  <si>
    <t>TR_SYN_0000088</t>
  </si>
  <si>
    <t>TR_SYN_0000089</t>
  </si>
  <si>
    <t>TR_SYN_0000090</t>
  </si>
  <si>
    <t>TR_SYN_0000091</t>
  </si>
  <si>
    <t>TR_SYN_0000092</t>
  </si>
  <si>
    <t>TR_SYN_0000093</t>
  </si>
  <si>
    <t>TR_SYN_0000094</t>
  </si>
  <si>
    <t>TR_SYN_0000095</t>
  </si>
  <si>
    <t>TR_SYN_0000096</t>
  </si>
  <si>
    <t>TR_SYN_0000097</t>
  </si>
  <si>
    <t>TR_SYN_0000098</t>
  </si>
  <si>
    <t>TR_SYN_0000099</t>
  </si>
  <si>
    <t>TR_SYN_0000100</t>
  </si>
  <si>
    <t>TR_SYN_0000101</t>
  </si>
  <si>
    <t>TR_SYN_0000102</t>
  </si>
  <si>
    <t>TR_SYN_0000103</t>
  </si>
  <si>
    <t>TR_SYN_0000104</t>
  </si>
  <si>
    <t>TR_SYN_0000105</t>
  </si>
  <si>
    <t>TR_SYN_0000106</t>
  </si>
  <si>
    <t>TR_SYN_0000107</t>
  </si>
  <si>
    <t>TR_SYN_0000108</t>
  </si>
  <si>
    <t>TR_SYN_0000109</t>
  </si>
  <si>
    <t>TR_SYN_0000110</t>
  </si>
  <si>
    <t>TR_SYN_0000111</t>
  </si>
  <si>
    <t>TR_SYN_0000112</t>
  </si>
  <si>
    <t>TR_SYN_0000113</t>
  </si>
  <si>
    <t>TR_SYN_0000114</t>
  </si>
  <si>
    <t>TR_SYN_0000115</t>
  </si>
  <si>
    <t>TR_SYN_0000116</t>
  </si>
  <si>
    <t>TR_SYN_0000117</t>
  </si>
  <si>
    <t>TR_SYN_0000118</t>
  </si>
  <si>
    <t>TR_SYN_0000119</t>
  </si>
  <si>
    <t>TR_SYN_0000120</t>
  </si>
  <si>
    <t>TR_SYN_0000121</t>
  </si>
  <si>
    <t>TR_SYN_0000122</t>
  </si>
  <si>
    <t>TR_SYN_0000123</t>
  </si>
  <si>
    <t>TR_SYN_0000124</t>
  </si>
  <si>
    <t>TR_SYN_0000125</t>
  </si>
  <si>
    <t>TR_SYN_0000126</t>
  </si>
  <si>
    <t>TR_SYN_0000127</t>
  </si>
  <si>
    <t>TR_SYN_0000128</t>
  </si>
  <si>
    <t>TR_SYN_0000129</t>
  </si>
  <si>
    <t>TR_SYN_0000130</t>
  </si>
  <si>
    <t>TR_SYN_0000131</t>
  </si>
  <si>
    <t>TR_SYN_0000132</t>
  </si>
  <si>
    <t>TR_SYN_0000133</t>
  </si>
  <si>
    <t>TR_SYN_0000134</t>
  </si>
  <si>
    <t>TR_SYN_0000135</t>
  </si>
  <si>
    <t>TR_SYN_0000136</t>
  </si>
  <si>
    <t>TR_SYN_0000137</t>
  </si>
  <si>
    <t>TR_SYN_0000138</t>
  </si>
  <si>
    <t>TR_SYN_0000139</t>
  </si>
  <si>
    <t>TR_SYN_0000140</t>
  </si>
  <si>
    <t>TR_SYN_0000141</t>
  </si>
  <si>
    <t>TR_SYN_0000142</t>
  </si>
  <si>
    <t>TR_SYN_0000143</t>
  </si>
  <si>
    <t>TR_SYN_0000144</t>
  </si>
  <si>
    <t>TR_SYN_0000145</t>
  </si>
  <si>
    <t>TR_SYN_0000146</t>
  </si>
  <si>
    <t>TR_SYN_0000147</t>
  </si>
  <si>
    <t>TR_SYN_0000148</t>
  </si>
  <si>
    <t>TR_SYN_0000149</t>
  </si>
  <si>
    <t>TR_SYN_0000150</t>
  </si>
  <si>
    <t>TR_SYN_0000151</t>
  </si>
  <si>
    <t>TR_SYN_0000152</t>
  </si>
  <si>
    <t>TR_SYN_0000153</t>
  </si>
  <si>
    <t>TR_SYN_0000154</t>
  </si>
  <si>
    <t>TR_SYN_0000155</t>
  </si>
  <si>
    <t>TR_SYN_0000156</t>
  </si>
  <si>
    <t>TR_SYN_0000157</t>
  </si>
  <si>
    <t>TR_SYN_0000158</t>
  </si>
  <si>
    <t>TR_SYN_0000159</t>
  </si>
  <si>
    <t>TR_SYN_0000160</t>
  </si>
  <si>
    <t>TR_SYN_0000161</t>
  </si>
  <si>
    <t>TR_SYN_0000162</t>
  </si>
  <si>
    <t>TR_SYN_0000163</t>
  </si>
  <si>
    <t>TR_SYN_0000164</t>
  </si>
  <si>
    <t>TR_SYN_0000165</t>
  </si>
  <si>
    <t>TR_SYN_0000166</t>
  </si>
  <si>
    <t>TR_SYN_0000167</t>
  </si>
  <si>
    <t>TR_SYN_0000168</t>
  </si>
  <si>
    <t>TR_SYN_0000169</t>
  </si>
  <si>
    <t>TR_SYN_0000170</t>
  </si>
  <si>
    <t>TR_SYN_0000171</t>
  </si>
  <si>
    <t>TR_SYN_0000172</t>
  </si>
  <si>
    <t>TR_SYN_0000173</t>
  </si>
  <si>
    <t>TR_SYN_0000174</t>
  </si>
  <si>
    <t>TR_SYN_0000175</t>
  </si>
  <si>
    <t>TR_SYN_0000176</t>
  </si>
  <si>
    <t>TR_SYN_0000177</t>
  </si>
  <si>
    <t>TR_SYN_0000178</t>
  </si>
  <si>
    <t>TR_SYN_0000179</t>
  </si>
  <si>
    <t>TR_SYN_0000180</t>
  </si>
  <si>
    <t>TR_SYN_0000181</t>
  </si>
  <si>
    <t>TR_SYN_0000182</t>
  </si>
  <si>
    <t>TR_SYN_0000183</t>
  </si>
  <si>
    <t>TR_SYN_0000184</t>
  </si>
  <si>
    <t>TR_SYN_0000185</t>
  </si>
  <si>
    <t>TR_SYN_0000186</t>
  </si>
  <si>
    <t>TR_SYN_0000187</t>
  </si>
  <si>
    <t>TR_SYN_0000188</t>
  </si>
  <si>
    <t>TR_SYN_0000189</t>
  </si>
  <si>
    <t>TR_SYN_0000190</t>
  </si>
  <si>
    <t>TR_SYN_0000191</t>
  </si>
  <si>
    <t>TR_SYN_0000192</t>
  </si>
  <si>
    <t>TR_SYN_0000193</t>
  </si>
  <si>
    <t>TR_SYN_0000194</t>
  </si>
  <si>
    <t>TR_SYN_0000195</t>
  </si>
  <si>
    <t>TR_SYN_0000196</t>
  </si>
  <si>
    <t>TR_SYN_0000197</t>
  </si>
  <si>
    <t>TR_SYN_0000198</t>
  </si>
  <si>
    <t>TR_SYN_0000199</t>
  </si>
  <si>
    <t>TR_SYN_0000200</t>
  </si>
  <si>
    <t>TR_SYN_0000201</t>
  </si>
  <si>
    <t>TR_SYN_0000202</t>
  </si>
  <si>
    <t>TR_SYN_0000203</t>
  </si>
  <si>
    <t>TR_SYN_0000204</t>
  </si>
  <si>
    <t>TR_SYN_0000205</t>
  </si>
  <si>
    <t>TR_SYN_0000206</t>
  </si>
  <si>
    <t>TR_SYN_0000207</t>
  </si>
  <si>
    <t>TR_SYN_0000208</t>
  </si>
  <si>
    <t>TR_SYN_0000209</t>
  </si>
  <si>
    <t>TR_SYN_0000210</t>
  </si>
  <si>
    <t>TR_SYN_0000211</t>
  </si>
  <si>
    <t>TR_SYN_0000212</t>
  </si>
  <si>
    <t>TR_SYN_0000213</t>
  </si>
  <si>
    <t>TR_SYN_0000214</t>
  </si>
  <si>
    <t>TR_SYN_0000215</t>
  </si>
  <si>
    <t>TR_SYN_0000216</t>
  </si>
  <si>
    <t>TR_SYN_0000217</t>
  </si>
  <si>
    <t>TR_SYN_0000218</t>
  </si>
  <si>
    <t>TR_SYN_0000219</t>
  </si>
  <si>
    <t>TR_SYN_0000220</t>
  </si>
  <si>
    <t>TR_SYN_0000221</t>
  </si>
  <si>
    <t>TR_SYN_0000222</t>
  </si>
  <si>
    <t>TR_SYN_0000223</t>
  </si>
  <si>
    <t>TR_SYN_0000224</t>
  </si>
  <si>
    <t>TR_SYN_0000225</t>
  </si>
  <si>
    <t>TR_SYN_0000226</t>
  </si>
  <si>
    <t>TR_SYN_0000227</t>
  </si>
  <si>
    <t>TR_SYN_0000228</t>
  </si>
  <si>
    <t>TR_SYN_0000229</t>
  </si>
  <si>
    <t>TR_SYN_0000230</t>
  </si>
  <si>
    <t>TR_SYN_0000231</t>
  </si>
  <si>
    <t>TR_SYN_0000232</t>
  </si>
  <si>
    <t>TR_SYN_0000233</t>
  </si>
  <si>
    <t>TR_SYN_0000234</t>
  </si>
  <si>
    <t>TR_SYN_0000235</t>
  </si>
  <si>
    <t>TR_SYN_0000236</t>
  </si>
  <si>
    <t>TR_SYN_0000237</t>
  </si>
  <si>
    <t>TR_SYN_0000238</t>
  </si>
  <si>
    <t>TR_SYN_0000239</t>
  </si>
  <si>
    <t>TR_SYN_0000240</t>
  </si>
  <si>
    <t>TR_SYN_0000241</t>
  </si>
  <si>
    <t>TR_SYN_0000242</t>
  </si>
  <si>
    <t>TR_SYN_0000243</t>
  </si>
  <si>
    <t>TR_SYN_0000244</t>
  </si>
  <si>
    <t>TR_SYN_0000245</t>
  </si>
  <si>
    <t>TR_SYN_0000246</t>
  </si>
  <si>
    <t>TR_SYN_0000247</t>
  </si>
  <si>
    <t>TR_SYN_0000248</t>
  </si>
  <si>
    <t>TR_SYN_0000249</t>
  </si>
  <si>
    <t>TR_SYN_0000250</t>
  </si>
  <si>
    <t>TR_SYN_0000251</t>
  </si>
  <si>
    <t>TR_SYN_0000252</t>
  </si>
  <si>
    <t>TR_SYN_0000253</t>
  </si>
  <si>
    <t>TR_SYN_0000254</t>
  </si>
  <si>
    <t>TR_SYN_0000255</t>
  </si>
  <si>
    <t>TR_SYN_0000256</t>
  </si>
  <si>
    <t>TR_SYN_0000257</t>
  </si>
  <si>
    <t>TR_SYN_0000258</t>
  </si>
  <si>
    <t>TR_SYN_0000259</t>
  </si>
  <si>
    <t>TR_SYN_0000260</t>
  </si>
  <si>
    <t>TR_SYN_0000261</t>
  </si>
  <si>
    <t>TR_SYN_0000262</t>
  </si>
  <si>
    <t>TR_SYN_0000263</t>
  </si>
  <si>
    <t>TR_SYN_0000264</t>
  </si>
  <si>
    <t>TR_SYN_0000265</t>
  </si>
  <si>
    <t>TR_SYN_0000266</t>
  </si>
  <si>
    <t>TR_SYN_0000267</t>
  </si>
  <si>
    <t>TR_SYN_0000268</t>
  </si>
  <si>
    <t>TR_SYN_0000269</t>
  </si>
  <si>
    <t>TR_SYN_0000270</t>
  </si>
  <si>
    <t>TR_SYN_0000271</t>
  </si>
  <si>
    <t>TR_SYN_0000272</t>
  </si>
  <si>
    <t>TR_SYN_0000273</t>
  </si>
  <si>
    <t>TR_SYN_0000274</t>
  </si>
  <si>
    <t>TR_SYN_0000275</t>
  </si>
  <si>
    <t>TR_SYN_0000276</t>
  </si>
  <si>
    <t>TR_SYN_0000277</t>
  </si>
  <si>
    <t>TR_SYN_0000278</t>
  </si>
  <si>
    <t>TR_SYN_0000279</t>
  </si>
  <si>
    <t>TR_SYN_0000280</t>
  </si>
  <si>
    <t>TR_SYN_0000281</t>
  </si>
  <si>
    <t>TR_SYN_0000282</t>
  </si>
  <si>
    <t>TR_SYN_0000283</t>
  </si>
  <si>
    <t>TR_SYN_0000284</t>
  </si>
  <si>
    <t>TR_SYN_0000285</t>
  </si>
  <si>
    <t>TR_SYN_0000286</t>
  </si>
  <si>
    <t>TR_SYN_0000287</t>
  </si>
  <si>
    <t>TR_SYN_0000288</t>
  </si>
  <si>
    <t>TR_SYN_0000289</t>
  </si>
  <si>
    <t>TR_SYN_0000290</t>
  </si>
  <si>
    <t>TR_SYN_0000291</t>
  </si>
  <si>
    <t>TR_SYN_0000292</t>
  </si>
  <si>
    <t>TR_SYN_0000293</t>
  </si>
  <si>
    <t>TR_SYN_0000294</t>
  </si>
  <si>
    <t>TR_SYN_0000295</t>
  </si>
  <si>
    <t>TR_SYN_0000296</t>
  </si>
  <si>
    <t>TR_SYN_0000297</t>
  </si>
  <si>
    <t>TR_SYN_0000298</t>
  </si>
  <si>
    <t>TR_SYN_0000299</t>
  </si>
  <si>
    <t>TR_SYN_0000300</t>
  </si>
  <si>
    <t>TR_SYN_0000301</t>
  </si>
  <si>
    <t>TR_SYN_0000302</t>
  </si>
  <si>
    <t>TR_SYN_0000303</t>
  </si>
  <si>
    <t>TR_SYN_0000304</t>
  </si>
  <si>
    <t>TR_SYN_0000305</t>
  </si>
  <si>
    <t>TR_SYN_0000306</t>
  </si>
  <si>
    <t>TR_SYN_0000307</t>
  </si>
  <si>
    <t>TR_SYN_0000308</t>
  </si>
  <si>
    <t>TR_SYN_0000309</t>
  </si>
  <si>
    <t>TR_SYN_0000310</t>
  </si>
  <si>
    <t>TR_SYN_0000311</t>
  </si>
  <si>
    <t>TR_SYN_0000312</t>
  </si>
  <si>
    <t>TR_SYN_0000313</t>
  </si>
  <si>
    <t>TR_SYN_0000314</t>
  </si>
  <si>
    <t>TR_SYN_0000315</t>
  </si>
  <si>
    <t>TR_SYN_0000316</t>
  </si>
  <si>
    <t>TR_SYN_0000317</t>
  </si>
  <si>
    <t>TR_SYN_0000318</t>
  </si>
  <si>
    <t>TR_SYN_0000319</t>
  </si>
  <si>
    <t>TR_SYN_0000320</t>
  </si>
  <si>
    <t>TR_SYN_0000321</t>
  </si>
  <si>
    <t>TR_SYN_0000322</t>
  </si>
  <si>
    <t>TR_SYN_0000323</t>
  </si>
  <si>
    <t>TR_SYN_0000324</t>
  </si>
  <si>
    <t>TR_SYN_0000325</t>
  </si>
  <si>
    <t>TR_SYN_0000326</t>
  </si>
  <si>
    <t>TR_SYN_0000327</t>
  </si>
  <si>
    <t>TR_SYN_0000328</t>
  </si>
  <si>
    <t>TR_SYN_0000329</t>
  </si>
  <si>
    <t>TR_SYN_0000330</t>
  </si>
  <si>
    <t>TR_SYN_0000331</t>
  </si>
  <si>
    <t>TR_SYN_0000332</t>
  </si>
  <si>
    <t>TR_SYN_0000333</t>
  </si>
  <si>
    <t>TR_SYN_0000334</t>
  </si>
  <si>
    <t>TR_SYN_0000335</t>
  </si>
  <si>
    <t>TR_SYN_0000336</t>
  </si>
  <si>
    <t>TR_SYN_0000337</t>
  </si>
  <si>
    <t>TR_SYN_0000338</t>
  </si>
  <si>
    <t>TR_SYN_0000339</t>
  </si>
  <si>
    <t>TR_SYN_0000340</t>
  </si>
  <si>
    <t>TR_SYN_0000341</t>
  </si>
  <si>
    <t>TR_SYN_0000342</t>
  </si>
  <si>
    <t>TR_SYN_0000343</t>
  </si>
  <si>
    <t>TR_SYN_0000344</t>
  </si>
  <si>
    <t>TR_SYN_0000345</t>
  </si>
  <si>
    <t>TR_SYN_0000346</t>
  </si>
  <si>
    <t>TR_SYN_0000347</t>
  </si>
  <si>
    <t>TR_SYN_0000348</t>
  </si>
  <si>
    <t>TR_SYN_0000349</t>
  </si>
  <si>
    <t>TR_SYN_0000350</t>
  </si>
  <si>
    <t>TR_SYN_0000351</t>
  </si>
  <si>
    <t>TR_SYN_0000352</t>
  </si>
  <si>
    <t>TR_SYN_0000353</t>
  </si>
  <si>
    <t>TR_SYN_0000354</t>
  </si>
  <si>
    <t>TR_SYN_0000355</t>
  </si>
  <si>
    <t>TR_SYN_0000356</t>
  </si>
  <si>
    <t>TR_SYN_0000357</t>
  </si>
  <si>
    <t>TR_SYN_0000358</t>
  </si>
  <si>
    <t>TR_SYN_0000359</t>
  </si>
  <si>
    <t>TR_SYN_0000360</t>
  </si>
  <si>
    <t>TR_SYN_0000361</t>
  </si>
  <si>
    <t>TR_SYN_0000362</t>
  </si>
  <si>
    <t>TR_SYN_0000363</t>
  </si>
  <si>
    <t>TR_SYN_0000364</t>
  </si>
  <si>
    <t>TR_SYN_0000365</t>
  </si>
  <si>
    <t>TR_SYN_0000366</t>
  </si>
  <si>
    <t>TR_SYN_0000367</t>
  </si>
  <si>
    <t>TR_SYN_0000368</t>
  </si>
  <si>
    <t>TR_SYN_0000369</t>
  </si>
  <si>
    <t>TR_SYN_0000370</t>
  </si>
  <si>
    <t>TR_SYN_0000371</t>
  </si>
  <si>
    <t>TR_SYN_0000372</t>
  </si>
  <si>
    <t>TR_SYN_0000373</t>
  </si>
  <si>
    <t>TR_SYN_0000374</t>
  </si>
  <si>
    <t>TR_SYN_0000375</t>
  </si>
  <si>
    <t>TR_SYN_0000376</t>
  </si>
  <si>
    <t>TR_SYN_0000377</t>
  </si>
  <si>
    <t>TR_SYN_0000378</t>
  </si>
  <si>
    <t>TR_SYN_0000379</t>
  </si>
  <si>
    <t>TR_SYN_0000380</t>
  </si>
  <si>
    <t>TR_SYN_0000381</t>
  </si>
  <si>
    <t>TR_SYN_0000382</t>
  </si>
  <si>
    <t>TR_SYN_0000383</t>
  </si>
  <si>
    <t>TR_SYN_0000384</t>
  </si>
  <si>
    <t>TR_SYN_0000385</t>
  </si>
  <si>
    <t>TR_SYN_0000386</t>
  </si>
  <si>
    <t>TR_SYN_0000387</t>
  </si>
  <si>
    <t>TR_SYN_0000388</t>
  </si>
  <si>
    <t>TR_SYN_0000389</t>
  </si>
  <si>
    <t>TR_SYN_0000390</t>
  </si>
  <si>
    <t>TR_SYN_0000391</t>
  </si>
  <si>
    <t>TR_SYN_0000392</t>
  </si>
  <si>
    <t>TR_SYN_0000393</t>
  </si>
  <si>
    <t>TR_SYN_0000394</t>
  </si>
  <si>
    <t>TR_SYN_0000395</t>
  </si>
  <si>
    <t>TR_SYN_0000396</t>
  </si>
  <si>
    <t>TR_SYN_0000397</t>
  </si>
  <si>
    <t>TR_SYN_0000398</t>
  </si>
  <si>
    <t>TR_SYN_0000399</t>
  </si>
  <si>
    <t>TR_SYN_0000400</t>
  </si>
  <si>
    <t>TR_SYN_0000401</t>
  </si>
  <si>
    <t>TR_SYN_0000402</t>
  </si>
  <si>
    <t>TR_SYN_0000403</t>
  </si>
  <si>
    <t>TR_SYN_0000404</t>
  </si>
  <si>
    <t>TR_SYN_0000405</t>
  </si>
  <si>
    <t>TR_SYN_0000406</t>
  </si>
  <si>
    <t>TR_SYN_0000407</t>
  </si>
  <si>
    <t>TR_SYN_0000408</t>
  </si>
  <si>
    <t>TR_SYN_0000409</t>
  </si>
  <si>
    <t>TR_SYN_0000410</t>
  </si>
  <si>
    <t>TR_SYN_0000411</t>
  </si>
  <si>
    <t>TR_SYN_0000412</t>
  </si>
  <si>
    <t>TR_SYN_0000413</t>
  </si>
  <si>
    <t>TR_SYN_0000414</t>
  </si>
  <si>
    <t>TR_SYN_0000415</t>
  </si>
  <si>
    <t>TR_SYN_0000416</t>
  </si>
  <si>
    <t>TR_SYN_0000417</t>
  </si>
  <si>
    <t>TR_SYN_0000418</t>
  </si>
  <si>
    <t>TR_SYN_0000419</t>
  </si>
  <si>
    <t>TR_SYN_0000420</t>
  </si>
  <si>
    <t>TR_SYN_0000421</t>
  </si>
  <si>
    <t>TR_SYN_0000422</t>
  </si>
  <si>
    <t>TR_SYN_0000423</t>
  </si>
  <si>
    <t>TR_SYN_0000424</t>
  </si>
  <si>
    <t>TR_SYN_0000425</t>
  </si>
  <si>
    <t>TR_SYN_0000426</t>
  </si>
  <si>
    <t>TR_SYN_0000427</t>
  </si>
  <si>
    <t>TR_SYN_0000428</t>
  </si>
  <si>
    <t>TR_SYN_0000429</t>
  </si>
  <si>
    <t>TR_SYN_0000430</t>
  </si>
  <si>
    <t>TR_SYN_0000431</t>
  </si>
  <si>
    <t>TR_SYN_0000432</t>
  </si>
  <si>
    <t>TR_SYN_0000433</t>
  </si>
  <si>
    <t>TR_SYN_0000434</t>
  </si>
  <si>
    <t>TR_SYN_0000435</t>
  </si>
  <si>
    <t>TR_SYN_0000436</t>
  </si>
  <si>
    <t>TR_SYN_0000437</t>
  </si>
  <si>
    <t>TR_SYN_0000438</t>
  </si>
  <si>
    <t>TR_SYN_0000439</t>
  </si>
  <si>
    <t>TR_SYN_0000440</t>
  </si>
  <si>
    <t>TR_SYN_0000441</t>
  </si>
  <si>
    <t>TR_SYN_0000442</t>
  </si>
  <si>
    <t>TR_SYN_0000443</t>
  </si>
  <si>
    <t>TR_SYN_0000444</t>
  </si>
  <si>
    <t>TR_SYN_0000445</t>
  </si>
  <si>
    <t>TR_SYN_0000446</t>
  </si>
  <si>
    <t>TR_SYN_0000447</t>
  </si>
  <si>
    <t>TR_SYN_0000448</t>
  </si>
  <si>
    <t>TR_SYN_0000449</t>
  </si>
  <si>
    <t>TR_SYN_0000450</t>
  </si>
  <si>
    <t>TR_SYN_0000451</t>
  </si>
  <si>
    <t>TR_SYN_0000452</t>
  </si>
  <si>
    <t>TR_SYN_0000453</t>
  </si>
  <si>
    <t>TR_SYN_0000454</t>
  </si>
  <si>
    <t>TR_SYN_0000455</t>
  </si>
  <si>
    <t>TR_SYN_0000456</t>
  </si>
  <si>
    <t>TR_SYN_0000457</t>
  </si>
  <si>
    <t>TR_SYN_0000458</t>
  </si>
  <si>
    <t>TR_SYN_0000459</t>
  </si>
  <si>
    <t>TR_SYN_0000460</t>
  </si>
  <si>
    <t>TR_SYN_0000461</t>
  </si>
  <si>
    <t>TR_SYN_0000462</t>
  </si>
  <si>
    <t>TR_SYN_0000463</t>
  </si>
  <si>
    <t>TR_SYN_0000464</t>
  </si>
  <si>
    <t>TR_SYN_0000465</t>
  </si>
  <si>
    <t>TR_SYN_0000466</t>
  </si>
  <si>
    <t>TR_SYN_0000467</t>
  </si>
  <si>
    <t>TR_SYN_0000468</t>
  </si>
  <si>
    <t>TR_SYN_0000469</t>
  </si>
  <si>
    <t>TR_SYN_0000470</t>
  </si>
  <si>
    <t>TR_SYN_0000471</t>
  </si>
  <si>
    <t>TR_SYN_0000472</t>
  </si>
  <si>
    <t>TR_SYN_0000473</t>
  </si>
  <si>
    <t>TR_SYN_0000474</t>
  </si>
  <si>
    <t>TR_SYN_0000475</t>
  </si>
  <si>
    <t>TR_SYN_0000476</t>
  </si>
  <si>
    <t>TR_SYN_0000477</t>
  </si>
  <si>
    <t>TR_SYN_0000478</t>
  </si>
  <si>
    <t>TR_SYN_0000479</t>
  </si>
  <si>
    <t>TR_SYN_0000480</t>
  </si>
  <si>
    <t>TR_SYN_0000481</t>
  </si>
  <si>
    <t>TR_SYN_0000482</t>
  </si>
  <si>
    <t>TR_SYN_0000483</t>
  </si>
  <si>
    <t>TR_SYN_0000484</t>
  </si>
  <si>
    <t>TR_SYN_0000485</t>
  </si>
  <si>
    <t>TR_SYN_0000486</t>
  </si>
  <si>
    <t>TR_SYN_0000487</t>
  </si>
  <si>
    <t>TR_SYN_0000488</t>
  </si>
  <si>
    <t>TR_SYN_0000489</t>
  </si>
  <si>
    <t>TR_SYN_0000490</t>
  </si>
  <si>
    <t>TR_SYN_0000491</t>
  </si>
  <si>
    <t>TR_SYN_0000492</t>
  </si>
  <si>
    <t>TR_SYN_0000493</t>
  </si>
  <si>
    <t>TR_SYN_0000494</t>
  </si>
  <si>
    <t>TR_SYN_0000495</t>
  </si>
  <si>
    <t>TR_SYN_0000496</t>
  </si>
  <si>
    <t>TR_SYN_0000497</t>
  </si>
  <si>
    <t>TR_SYN_0000498</t>
  </si>
  <si>
    <t>TR_SYN_0000499</t>
  </si>
  <si>
    <t>TR_SYN_0000500</t>
  </si>
  <si>
    <t>Row Labels</t>
  </si>
  <si>
    <t>Grand Total</t>
  </si>
  <si>
    <t>Average of volume</t>
  </si>
  <si>
    <t>Max of high</t>
  </si>
  <si>
    <t>Min of low</t>
  </si>
  <si>
    <t>Column Labels</t>
  </si>
  <si>
    <t>Sum of quantity</t>
  </si>
  <si>
    <t xml:space="preserve">Daily Return </t>
  </si>
  <si>
    <t>Average of Daily Return</t>
  </si>
  <si>
    <t>Sum of fees</t>
  </si>
  <si>
    <t xml:space="preserve">Reliance </t>
  </si>
  <si>
    <t>Apple</t>
  </si>
  <si>
    <t>Microsoft</t>
  </si>
  <si>
    <t>Amazon</t>
  </si>
  <si>
    <t>Pfizer</t>
  </si>
  <si>
    <t>Reliance</t>
  </si>
  <si>
    <t xml:space="preserve"> Trade Value</t>
  </si>
  <si>
    <t>Average of Avg Trade Value</t>
  </si>
  <si>
    <t>Volatality</t>
  </si>
  <si>
    <t>Max Opening Price</t>
  </si>
  <si>
    <t>Total Traders</t>
  </si>
  <si>
    <t>Total Order Qty.</t>
  </si>
  <si>
    <t>Max Dividend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</si>
</sst>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ss"/>
    <numFmt numFmtId="165" formatCode="0.000%"/>
    <numFmt numFmtId="166" formatCode="0.0000%"/>
  </numFmts>
  <fonts count="6" x14ac:knownFonts="1">
    <font>
      <sz val="11"/>
      <color theme="1"/>
      <name val="Calibri"/>
      <family val="2"/>
      <scheme val="minor"/>
    </font>
    <font>
      <b/>
      <sz val="11"/>
      <name val="Calibri"/>
    </font>
    <font>
      <sz val="11"/>
      <color theme="1"/>
      <name val="Calibri"/>
      <family val="2"/>
      <scheme val="minor"/>
    </font>
    <font>
      <b/>
      <sz val="11"/>
      <name val="Calibri"/>
      <family val="2"/>
    </font>
    <font>
      <b/>
      <sz val="16"/>
      <color theme="1"/>
      <name val="Times New Roman"/>
      <family val="1"/>
    </font>
    <font>
      <b/>
      <sz val="22"/>
      <color theme="1"/>
      <name val="Times New Roman"/>
      <family val="1"/>
    </font>
  </fonts>
  <fills count="4">
    <fill>
      <patternFill patternType="none"/>
    </fill>
    <fill>
      <patternFill patternType="gray125"/>
    </fill>
    <fill>
      <patternFill patternType="solid">
        <fgColor theme="0" tint="-4.9989318521683403E-2"/>
        <bgColor indexed="64"/>
      </patternFill>
    </fill>
    <fill>
      <patternFill patternType="solid">
        <fgColor theme="6"/>
        <bgColor indexed="64"/>
      </patternFill>
    </fill>
  </fills>
  <borders count="13">
    <border>
      <left/>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164" fontId="0" fillId="0" borderId="0" xfId="0" applyNumberFormat="1"/>
    <xf numFmtId="0" fontId="1" fillId="0" borderId="0" xfId="0" applyFont="1" applyAlignment="1">
      <alignment horizontal="center" vertical="top"/>
    </xf>
    <xf numFmtId="0" fontId="1" fillId="0" borderId="1" xfId="0" applyFont="1" applyBorder="1" applyAlignment="1">
      <alignment horizontal="center" vertical="top"/>
    </xf>
    <xf numFmtId="0" fontId="1" fillId="0" borderId="0" xfId="0" applyFont="1" applyAlignment="1">
      <alignment horizontal="center" vertical="center"/>
    </xf>
    <xf numFmtId="164" fontId="0" fillId="0" borderId="0" xfId="0" applyNumberFormat="1" applyAlignment="1">
      <alignment horizontal="center" vertical="center"/>
    </xf>
    <xf numFmtId="0" fontId="0" fillId="0" borderId="0" xfId="0" applyAlignment="1">
      <alignment horizontal="center" vertical="center"/>
    </xf>
    <xf numFmtId="0" fontId="0" fillId="0" borderId="0" xfId="0" pivotButton="1"/>
    <xf numFmtId="0" fontId="0" fillId="0" borderId="0" xfId="0" applyAlignment="1">
      <alignment horizontal="left"/>
    </xf>
    <xf numFmtId="1" fontId="0" fillId="0" borderId="0" xfId="0" applyNumberFormat="1" applyAlignment="1">
      <alignment horizontal="center" vertical="center"/>
    </xf>
    <xf numFmtId="10" fontId="0" fillId="0" borderId="0" xfId="1" applyNumberFormat="1" applyFont="1" applyAlignment="1">
      <alignment horizontal="center" vertical="center"/>
    </xf>
    <xf numFmtId="165" fontId="0" fillId="0" borderId="0" xfId="0" applyNumberFormat="1"/>
    <xf numFmtId="166" fontId="0" fillId="0" borderId="0" xfId="0" applyNumberFormat="1"/>
    <xf numFmtId="0" fontId="3" fillId="0" borderId="0" xfId="0" applyFont="1" applyAlignment="1">
      <alignment horizontal="center" vertical="top"/>
    </xf>
    <xf numFmtId="0" fontId="0" fillId="2" borderId="0" xfId="0" applyFill="1"/>
    <xf numFmtId="10" fontId="0" fillId="0" borderId="0" xfId="1" applyNumberFormat="1" applyFont="1"/>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9" xfId="0" applyFont="1" applyFill="1" applyBorder="1" applyAlignment="1">
      <alignment horizontal="center" vertical="center"/>
    </xf>
    <xf numFmtId="0" fontId="4" fillId="2" borderId="10" xfId="0" applyFont="1" applyFill="1" applyBorder="1" applyAlignment="1">
      <alignment horizontal="center" vertical="center"/>
    </xf>
    <xf numFmtId="0" fontId="5" fillId="3" borderId="11" xfId="1" applyNumberFormat="1" applyFont="1" applyFill="1" applyBorder="1" applyAlignment="1">
      <alignment horizontal="center" vertical="center"/>
    </xf>
    <xf numFmtId="0" fontId="5" fillId="3" borderId="1" xfId="1" applyNumberFormat="1" applyFont="1" applyFill="1" applyBorder="1" applyAlignment="1">
      <alignment horizontal="center" vertical="center"/>
    </xf>
    <xf numFmtId="0" fontId="5" fillId="3" borderId="12" xfId="1" applyNumberFormat="1" applyFont="1" applyFill="1" applyBorder="1" applyAlignment="1">
      <alignment horizontal="center" vertical="center"/>
    </xf>
    <xf numFmtId="0" fontId="5" fillId="3" borderId="6" xfId="1" applyNumberFormat="1" applyFont="1" applyFill="1" applyBorder="1" applyAlignment="1">
      <alignment horizontal="center" vertical="center"/>
    </xf>
    <xf numFmtId="0" fontId="5" fillId="3" borderId="2" xfId="1" applyNumberFormat="1" applyFont="1" applyFill="1" applyBorder="1" applyAlignment="1">
      <alignment horizontal="center" vertical="center"/>
    </xf>
    <xf numFmtId="0" fontId="5" fillId="3" borderId="7" xfId="1" applyNumberFormat="1" applyFont="1" applyFill="1" applyBorder="1" applyAlignment="1">
      <alignment horizontal="center" vertical="center"/>
    </xf>
    <xf numFmtId="0" fontId="5" fillId="3" borderId="8" xfId="1" applyNumberFormat="1" applyFont="1" applyFill="1" applyBorder="1" applyAlignment="1">
      <alignment horizontal="center" vertical="center"/>
    </xf>
    <xf numFmtId="0" fontId="5" fillId="3" borderId="9" xfId="1" applyNumberFormat="1" applyFont="1" applyFill="1" applyBorder="1" applyAlignment="1">
      <alignment horizontal="center" vertical="center"/>
    </xf>
    <xf numFmtId="0" fontId="5" fillId="3" borderId="10" xfId="1" applyNumberFormat="1" applyFont="1" applyFill="1" applyBorder="1" applyAlignment="1">
      <alignment horizontal="center" vertical="center"/>
    </xf>
    <xf numFmtId="10" fontId="5" fillId="3" borderId="11" xfId="0" applyNumberFormat="1" applyFont="1" applyFill="1" applyBorder="1" applyAlignment="1">
      <alignment horizontal="center" vertical="center"/>
    </xf>
    <xf numFmtId="0" fontId="5" fillId="3" borderId="1" xfId="0" applyFont="1" applyFill="1" applyBorder="1" applyAlignment="1">
      <alignment horizontal="center" vertical="center"/>
    </xf>
    <xf numFmtId="0" fontId="5" fillId="3" borderId="12"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9" xfId="0" applyFont="1" applyFill="1" applyBorder="1" applyAlignment="1">
      <alignment horizontal="center" vertical="center"/>
    </xf>
    <xf numFmtId="0" fontId="5" fillId="3" borderId="10" xfId="0" applyFont="1" applyFill="1" applyBorder="1" applyAlignment="1">
      <alignment horizontal="center" vertical="center"/>
    </xf>
  </cellXfs>
  <cellStyles count="2">
    <cellStyle name="Normal" xfId="0" builtinId="0"/>
    <cellStyle name="Per cent" xfId="1" builtinId="5"/>
  </cellStyles>
  <dxfs count="45">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 formatCode="0"/>
      <alignment horizontal="center" vertical="center" textRotation="0" wrapText="0" indent="0" justifyLastLine="0" shrinkToFit="0" readingOrder="0"/>
    </dxf>
    <dxf>
      <numFmt numFmtId="164" formatCode="yyyy\-mm\-dd\ hh:mm:ss"/>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4" formatCode="yyyy\-mm\-dd\ hh:mm:ss"/>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hh:mm:ss"/>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alignment horizontal="center"/>
    </dxf>
    <dxf>
      <alignment vertical="center"/>
    </dxf>
    <dxf>
      <numFmt numFmtId="1" formatCode="0"/>
    </dxf>
    <dxf>
      <alignment vertical="center"/>
    </dxf>
    <dxf>
      <alignment horizontal="center"/>
    </dxf>
    <dxf>
      <numFmt numFmtId="1" formatCode="0"/>
    </dxf>
    <dxf>
      <alignment vertical="center"/>
    </dxf>
    <dxf>
      <alignment horizontal="center"/>
    </dxf>
    <dxf>
      <numFmt numFmtId="1" formatCode="0"/>
    </dxf>
    <dxf>
      <numFmt numFmtId="166" formatCode="0.0000%"/>
    </dxf>
    <dxf>
      <numFmt numFmtId="165" formatCode="0.00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yyyy\-mm\-dd\ hh:mm:ss"/>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center" textRotation="0" wrapText="0" indent="0" justifyLastLine="0" shrinkToFit="0" readingOrder="0"/>
    </dxf>
    <dxf>
      <numFmt numFmtId="164" formatCode="yyyy\-mm\-dd\ hh:mm:ss"/>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connections" Target="connections.xml"/><Relationship Id="rId39" Type="http://schemas.openxmlformats.org/officeDocument/2006/relationships/customXml" Target="../customXml/item9.xml"/><Relationship Id="rId21" Type="http://schemas.openxmlformats.org/officeDocument/2006/relationships/pivotCacheDefinition" Target="pivotCache/pivotCacheDefinition6.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50"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owerPivotData" Target="model/item.data"/><Relationship Id="rId11" Type="http://schemas.openxmlformats.org/officeDocument/2006/relationships/worksheet" Target="worksheets/sheet11.xml"/><Relationship Id="rId24" Type="http://schemas.microsoft.com/office/2007/relationships/slicerCache" Target="slicerCaches/slicerCach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4.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styles" Target="style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theme" Target="theme/theme1.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5.xml"/><Relationship Id="rId41"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sharedStrings" Target="sharedStrings.xml"/><Relationship Id="rId36" Type="http://schemas.openxmlformats.org/officeDocument/2006/relationships/customXml" Target="../customXml/item6.xml"/><Relationship Id="rId49"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[Stock Market Analysis.xlsx]Sheet1!PivotTable1</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Average</a:t>
            </a:r>
            <a:r>
              <a:rPr lang="en-US" sz="1200" b="1" baseline="0">
                <a:solidFill>
                  <a:sysClr val="windowText" lastClr="000000"/>
                </a:solidFill>
                <a:latin typeface="Times New Roman" panose="02020603050405020304" pitchFamily="18" charset="0"/>
                <a:cs typeface="Times New Roman" panose="02020603050405020304" pitchFamily="18" charset="0"/>
              </a:rPr>
              <a:t> Volume of Shares</a:t>
            </a:r>
            <a:endParaRPr lang="en-US" sz="12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3"/>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Sheet1!$A$2:$A$10</c:f>
              <c:strCache>
                <c:ptCount val="8"/>
                <c:pt idx="0">
                  <c:v>Amazon</c:v>
                </c:pt>
                <c:pt idx="1">
                  <c:v>Apple</c:v>
                </c:pt>
                <c:pt idx="2">
                  <c:v>HDFC Bank</c:v>
                </c:pt>
                <c:pt idx="3">
                  <c:v>Infosys</c:v>
                </c:pt>
                <c:pt idx="4">
                  <c:v>Microsoft</c:v>
                </c:pt>
                <c:pt idx="5">
                  <c:v>Pfizer</c:v>
                </c:pt>
                <c:pt idx="6">
                  <c:v>Reliance</c:v>
                </c:pt>
                <c:pt idx="7">
                  <c:v>TCS</c:v>
                </c:pt>
              </c:strCache>
            </c:strRef>
          </c:cat>
          <c:val>
            <c:numRef>
              <c:f>Sheet1!$B$2:$B$10</c:f>
              <c:numCache>
                <c:formatCode>0</c:formatCode>
                <c:ptCount val="8"/>
                <c:pt idx="0">
                  <c:v>25383.449612403099</c:v>
                </c:pt>
                <c:pt idx="1">
                  <c:v>24705.674418604653</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00-6963-4DF6-BD0C-1AF13032B1C8}"/>
            </c:ext>
          </c:extLst>
        </c:ser>
        <c:dLbls>
          <c:dLblPos val="outEnd"/>
          <c:showLegendKey val="0"/>
          <c:showVal val="1"/>
          <c:showCatName val="0"/>
          <c:showSerName val="0"/>
          <c:showPercent val="0"/>
          <c:showBubbleSize val="0"/>
        </c:dLbls>
        <c:gapWidth val="219"/>
        <c:overlap val="-27"/>
        <c:axId val="281138639"/>
        <c:axId val="281139119"/>
      </c:barChart>
      <c:catAx>
        <c:axId val="28113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281139119"/>
        <c:crosses val="autoZero"/>
        <c:auto val="1"/>
        <c:lblAlgn val="ctr"/>
        <c:lblOffset val="100"/>
        <c:noMultiLvlLbl val="0"/>
      </c:catAx>
      <c:valAx>
        <c:axId val="281139119"/>
        <c:scaling>
          <c:orientation val="minMax"/>
        </c:scaling>
        <c:delete val="1"/>
        <c:axPos val="l"/>
        <c:majorGridlines>
          <c:spPr>
            <a:ln w="9525" cap="flat" cmpd="sng" algn="ctr">
              <a:solidFill>
                <a:schemeClr val="bg1"/>
              </a:solidFill>
              <a:round/>
            </a:ln>
            <a:effectLst/>
          </c:spPr>
        </c:majorGridlines>
        <c:numFmt formatCode="0" sourceLinked="1"/>
        <c:majorTickMark val="none"/>
        <c:minorTickMark val="none"/>
        <c:tickLblPos val="nextTo"/>
        <c:crossAx val="28113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52 Week High &amp; Low Prices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876618547681541"/>
          <c:y val="0.1173582200232005"/>
          <c:w val="0.70449693788276468"/>
          <c:h val="0.65671075992405992"/>
        </c:manualLayout>
      </c:layout>
      <c:lineChart>
        <c:grouping val="standard"/>
        <c:varyColors val="0"/>
        <c:ser>
          <c:idx val="0"/>
          <c:order val="0"/>
          <c:tx>
            <c:strRef>
              <c:f>Sheet1!$B$12</c:f>
              <c:strCache>
                <c:ptCount val="1"/>
                <c:pt idx="0">
                  <c:v>Max of high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Sheet1!$A$13:$A$21</c:f>
              <c:strCache>
                <c:ptCount val="8"/>
                <c:pt idx="0">
                  <c:v>HDFC Bank</c:v>
                </c:pt>
                <c:pt idx="1">
                  <c:v>Pfizer</c:v>
                </c:pt>
                <c:pt idx="2">
                  <c:v>Infosys</c:v>
                </c:pt>
                <c:pt idx="3">
                  <c:v>TCS</c:v>
                </c:pt>
                <c:pt idx="4">
                  <c:v>Reliance</c:v>
                </c:pt>
                <c:pt idx="5">
                  <c:v>Amazon</c:v>
                </c:pt>
                <c:pt idx="6">
                  <c:v>Apple</c:v>
                </c:pt>
                <c:pt idx="7">
                  <c:v>Microsoft</c:v>
                </c:pt>
              </c:strCache>
            </c:strRef>
          </c:cat>
          <c:val>
            <c:numRef>
              <c:f>Sheet1!$B$13:$B$21</c:f>
              <c:numCache>
                <c:formatCode>0</c:formatCode>
                <c:ptCount val="8"/>
                <c:pt idx="0">
                  <c:v>2324.77</c:v>
                </c:pt>
                <c:pt idx="1">
                  <c:v>1462.28</c:v>
                </c:pt>
                <c:pt idx="2">
                  <c:v>1359.78</c:v>
                </c:pt>
                <c:pt idx="3">
                  <c:v>857.85</c:v>
                </c:pt>
                <c:pt idx="4">
                  <c:v>714.67</c:v>
                </c:pt>
                <c:pt idx="5">
                  <c:v>635.26</c:v>
                </c:pt>
                <c:pt idx="6">
                  <c:v>268.10000000000002</c:v>
                </c:pt>
                <c:pt idx="7">
                  <c:v>254.93</c:v>
                </c:pt>
              </c:numCache>
            </c:numRef>
          </c:val>
          <c:smooth val="0"/>
          <c:extLst>
            <c:ext xmlns:c16="http://schemas.microsoft.com/office/drawing/2014/chart" uri="{C3380CC4-5D6E-409C-BE32-E72D297353CC}">
              <c16:uniqueId val="{00000000-7761-4ED4-8420-555E0F5357F1}"/>
            </c:ext>
          </c:extLst>
        </c:ser>
        <c:ser>
          <c:idx val="1"/>
          <c:order val="1"/>
          <c:tx>
            <c:strRef>
              <c:f>Sheet1!$C$12</c:f>
              <c:strCache>
                <c:ptCount val="1"/>
                <c:pt idx="0">
                  <c:v>Min of 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Sheet1!$A$13:$A$21</c:f>
              <c:strCache>
                <c:ptCount val="8"/>
                <c:pt idx="0">
                  <c:v>HDFC Bank</c:v>
                </c:pt>
                <c:pt idx="1">
                  <c:v>Pfizer</c:v>
                </c:pt>
                <c:pt idx="2">
                  <c:v>Infosys</c:v>
                </c:pt>
                <c:pt idx="3">
                  <c:v>TCS</c:v>
                </c:pt>
                <c:pt idx="4">
                  <c:v>Reliance</c:v>
                </c:pt>
                <c:pt idx="5">
                  <c:v>Amazon</c:v>
                </c:pt>
                <c:pt idx="6">
                  <c:v>Apple</c:v>
                </c:pt>
                <c:pt idx="7">
                  <c:v>Microsoft</c:v>
                </c:pt>
              </c:strCache>
            </c:strRef>
          </c:cat>
          <c:val>
            <c:numRef>
              <c:f>Sheet1!$C$13:$C$21</c:f>
              <c:numCache>
                <c:formatCode>0</c:formatCode>
                <c:ptCount val="8"/>
                <c:pt idx="0">
                  <c:v>1940.66</c:v>
                </c:pt>
                <c:pt idx="1">
                  <c:v>940.81</c:v>
                </c:pt>
                <c:pt idx="2">
                  <c:v>1136.01</c:v>
                </c:pt>
                <c:pt idx="3">
                  <c:v>722.55</c:v>
                </c:pt>
                <c:pt idx="4">
                  <c:v>585.61</c:v>
                </c:pt>
                <c:pt idx="5">
                  <c:v>443.03</c:v>
                </c:pt>
                <c:pt idx="6">
                  <c:v>223.76</c:v>
                </c:pt>
                <c:pt idx="7">
                  <c:v>209.62</c:v>
                </c:pt>
              </c:numCache>
            </c:numRef>
          </c:val>
          <c:smooth val="0"/>
          <c:extLst>
            <c:ext xmlns:c16="http://schemas.microsoft.com/office/drawing/2014/chart" uri="{C3380CC4-5D6E-409C-BE32-E72D297353CC}">
              <c16:uniqueId val="{00000001-7761-4ED4-8420-555E0F5357F1}"/>
            </c:ext>
          </c:extLst>
        </c:ser>
        <c:dLbls>
          <c:showLegendKey val="0"/>
          <c:showVal val="0"/>
          <c:showCatName val="0"/>
          <c:showSerName val="0"/>
          <c:showPercent val="0"/>
          <c:showBubbleSize val="0"/>
        </c:dLbls>
        <c:marker val="1"/>
        <c:smooth val="0"/>
        <c:axId val="1115070287"/>
        <c:axId val="1115062127"/>
      </c:lineChart>
      <c:catAx>
        <c:axId val="1115070287"/>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5062127"/>
        <c:crosses val="autoZero"/>
        <c:auto val="1"/>
        <c:lblAlgn val="ctr"/>
        <c:lblOffset val="100"/>
        <c:noMultiLvlLbl val="0"/>
      </c:catAx>
      <c:valAx>
        <c:axId val="1115062127"/>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5070287"/>
        <c:crosses val="autoZero"/>
        <c:crossBetween val="between"/>
      </c:valAx>
      <c:spPr>
        <a:noFill/>
        <a:ln>
          <a:noFill/>
        </a:ln>
        <a:effectLst/>
      </c:spPr>
    </c:plotArea>
    <c:legend>
      <c:legendPos val="r"/>
      <c:layout>
        <c:manualLayout>
          <c:xMode val="edge"/>
          <c:yMode val="edge"/>
          <c:x val="0.26326312335958008"/>
          <c:y val="0.90701399722455556"/>
          <c:w val="0.50062576552930882"/>
          <c:h val="6.9363955531349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Total Trade Value per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Sheet1!$A$25:$A$33</c:f>
              <c:strCache>
                <c:ptCount val="8"/>
                <c:pt idx="0">
                  <c:v>Amazon</c:v>
                </c:pt>
                <c:pt idx="1">
                  <c:v>Apple</c:v>
                </c:pt>
                <c:pt idx="2">
                  <c:v>HDFC Bank</c:v>
                </c:pt>
                <c:pt idx="3">
                  <c:v>Infosys</c:v>
                </c:pt>
                <c:pt idx="4">
                  <c:v>Microsoft</c:v>
                </c:pt>
                <c:pt idx="5">
                  <c:v>Pfizer</c:v>
                </c:pt>
                <c:pt idx="6">
                  <c:v>Reliance</c:v>
                </c:pt>
                <c:pt idx="7">
                  <c:v>TCS</c:v>
                </c:pt>
              </c:strCache>
            </c:strRef>
          </c:cat>
          <c:val>
            <c:numRef>
              <c:f>Sheet1!$B$25:$B$33</c:f>
              <c:numCache>
                <c:formatCode>0</c:formatCode>
                <c:ptCount val="8"/>
                <c:pt idx="0">
                  <c:v>324797.05931506853</c:v>
                </c:pt>
                <c:pt idx="1">
                  <c:v>122860.82456140348</c:v>
                </c:pt>
                <c:pt idx="2">
                  <c:v>1055458.6576271188</c:v>
                </c:pt>
                <c:pt idx="3">
                  <c:v>633085.01133333321</c:v>
                </c:pt>
                <c:pt idx="4">
                  <c:v>132730.9386153846</c:v>
                </c:pt>
                <c:pt idx="5">
                  <c:v>585434.31936507917</c:v>
                </c:pt>
                <c:pt idx="6">
                  <c:v>359184.66475409822</c:v>
                </c:pt>
                <c:pt idx="7">
                  <c:v>358025.18693548394</c:v>
                </c:pt>
              </c:numCache>
            </c:numRef>
          </c:val>
          <c:extLst>
            <c:ext xmlns:c16="http://schemas.microsoft.com/office/drawing/2014/chart" uri="{C3380CC4-5D6E-409C-BE32-E72D297353CC}">
              <c16:uniqueId val="{00000000-1F53-4FBD-9B58-5B2D7E2BDE35}"/>
            </c:ext>
          </c:extLst>
        </c:ser>
        <c:dLbls>
          <c:showLegendKey val="0"/>
          <c:showVal val="0"/>
          <c:showCatName val="0"/>
          <c:showSerName val="0"/>
          <c:showPercent val="0"/>
          <c:showBubbleSize val="0"/>
        </c:dLbls>
        <c:gapWidth val="219"/>
        <c:overlap val="-27"/>
        <c:axId val="1115053007"/>
        <c:axId val="1115051567"/>
      </c:barChart>
      <c:catAx>
        <c:axId val="111505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5051567"/>
        <c:crosses val="autoZero"/>
        <c:auto val="1"/>
        <c:lblAlgn val="ctr"/>
        <c:lblOffset val="100"/>
        <c:noMultiLvlLbl val="0"/>
      </c:catAx>
      <c:valAx>
        <c:axId val="1115051567"/>
        <c:scaling>
          <c:orientation val="minMax"/>
        </c:scaling>
        <c:delete val="1"/>
        <c:axPos val="l"/>
        <c:majorGridlines>
          <c:spPr>
            <a:ln w="9525" cap="flat" cmpd="sng" algn="ctr">
              <a:solidFill>
                <a:schemeClr val="bg1"/>
              </a:solidFill>
              <a:round/>
            </a:ln>
            <a:effectLst/>
          </c:spPr>
        </c:majorGridlines>
        <c:numFmt formatCode="0" sourceLinked="1"/>
        <c:majorTickMark val="none"/>
        <c:minorTickMark val="none"/>
        <c:tickLblPos val="nextTo"/>
        <c:crossAx val="111505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Analysis.xlsx]Sheet1!PivotTable6</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Total Buy &amp; Sell of Stocks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Sheet1!$G$1:$G$2</c:f>
              <c:strCache>
                <c:ptCount val="1"/>
                <c:pt idx="0">
                  <c:v>BUY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Sheet1!$F$3:$F$11</c:f>
              <c:strCache>
                <c:ptCount val="8"/>
                <c:pt idx="0">
                  <c:v>Amazon</c:v>
                </c:pt>
                <c:pt idx="1">
                  <c:v>Apple</c:v>
                </c:pt>
                <c:pt idx="2">
                  <c:v>HDFC Bank</c:v>
                </c:pt>
                <c:pt idx="3">
                  <c:v>Infosys</c:v>
                </c:pt>
                <c:pt idx="4">
                  <c:v>Microsoft</c:v>
                </c:pt>
                <c:pt idx="5">
                  <c:v>Pfizer</c:v>
                </c:pt>
                <c:pt idx="6">
                  <c:v>Reliance</c:v>
                </c:pt>
                <c:pt idx="7">
                  <c:v>TCS</c:v>
                </c:pt>
              </c:strCache>
            </c:strRef>
          </c:cat>
          <c:val>
            <c:numRef>
              <c:f>Sheet1!$G$3:$G$11</c:f>
              <c:numCache>
                <c:formatCode>General</c:formatCode>
                <c:ptCount val="8"/>
                <c:pt idx="0">
                  <c:v>20207</c:v>
                </c:pt>
                <c:pt idx="1">
                  <c:v>16842</c:v>
                </c:pt>
                <c:pt idx="2">
                  <c:v>16750</c:v>
                </c:pt>
                <c:pt idx="3">
                  <c:v>14701</c:v>
                </c:pt>
                <c:pt idx="4">
                  <c:v>18228</c:v>
                </c:pt>
                <c:pt idx="5">
                  <c:v>18098</c:v>
                </c:pt>
                <c:pt idx="6">
                  <c:v>15905</c:v>
                </c:pt>
                <c:pt idx="7">
                  <c:v>13554</c:v>
                </c:pt>
              </c:numCache>
            </c:numRef>
          </c:val>
          <c:extLst>
            <c:ext xmlns:c16="http://schemas.microsoft.com/office/drawing/2014/chart" uri="{C3380CC4-5D6E-409C-BE32-E72D297353CC}">
              <c16:uniqueId val="{00000000-D82E-4B44-9517-1E80F816A8CF}"/>
            </c:ext>
          </c:extLst>
        </c:ser>
        <c:ser>
          <c:idx val="1"/>
          <c:order val="1"/>
          <c:tx>
            <c:strRef>
              <c:f>Sheet1!$H$1:$H$2</c:f>
              <c:strCache>
                <c:ptCount val="1"/>
                <c:pt idx="0">
                  <c:v>SELL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Sheet1!$F$3:$F$11</c:f>
              <c:strCache>
                <c:ptCount val="8"/>
                <c:pt idx="0">
                  <c:v>Amazon</c:v>
                </c:pt>
                <c:pt idx="1">
                  <c:v>Apple</c:v>
                </c:pt>
                <c:pt idx="2">
                  <c:v>HDFC Bank</c:v>
                </c:pt>
                <c:pt idx="3">
                  <c:v>Infosys</c:v>
                </c:pt>
                <c:pt idx="4">
                  <c:v>Microsoft</c:v>
                </c:pt>
                <c:pt idx="5">
                  <c:v>Pfizer</c:v>
                </c:pt>
                <c:pt idx="6">
                  <c:v>Reliance</c:v>
                </c:pt>
                <c:pt idx="7">
                  <c:v>TCS</c:v>
                </c:pt>
              </c:strCache>
            </c:strRef>
          </c:cat>
          <c:val>
            <c:numRef>
              <c:f>Sheet1!$H$3:$H$11</c:f>
              <c:numCache>
                <c:formatCode>General</c:formatCode>
                <c:ptCount val="8"/>
                <c:pt idx="0">
                  <c:v>21820</c:v>
                </c:pt>
                <c:pt idx="1">
                  <c:v>12057</c:v>
                </c:pt>
                <c:pt idx="2">
                  <c:v>12154</c:v>
                </c:pt>
                <c:pt idx="3">
                  <c:v>15361</c:v>
                </c:pt>
                <c:pt idx="4">
                  <c:v>18210</c:v>
                </c:pt>
                <c:pt idx="5">
                  <c:v>12753</c:v>
                </c:pt>
                <c:pt idx="6">
                  <c:v>18218</c:v>
                </c:pt>
                <c:pt idx="7">
                  <c:v>14861</c:v>
                </c:pt>
              </c:numCache>
            </c:numRef>
          </c:val>
          <c:extLst>
            <c:ext xmlns:c16="http://schemas.microsoft.com/office/drawing/2014/chart" uri="{C3380CC4-5D6E-409C-BE32-E72D297353CC}">
              <c16:uniqueId val="{00000001-D82E-4B44-9517-1E80F816A8CF}"/>
            </c:ext>
          </c:extLst>
        </c:ser>
        <c:dLbls>
          <c:dLblPos val="outEnd"/>
          <c:showLegendKey val="0"/>
          <c:showVal val="1"/>
          <c:showCatName val="0"/>
          <c:showSerName val="0"/>
          <c:showPercent val="0"/>
          <c:showBubbleSize val="0"/>
        </c:dLbls>
        <c:gapWidth val="75"/>
        <c:overlap val="-25"/>
        <c:axId val="281151119"/>
        <c:axId val="281151599"/>
      </c:barChart>
      <c:catAx>
        <c:axId val="28115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81151599"/>
        <c:crosses val="autoZero"/>
        <c:auto val="1"/>
        <c:lblAlgn val="ctr"/>
        <c:lblOffset val="100"/>
        <c:noMultiLvlLbl val="0"/>
      </c:catAx>
      <c:valAx>
        <c:axId val="281151599"/>
        <c:scaling>
          <c:orientation val="minMax"/>
        </c:scaling>
        <c:delete val="1"/>
        <c:axPos val="l"/>
        <c:majorGridlines>
          <c:spPr>
            <a:ln w="9525" cap="flat" cmpd="sng" algn="ctr">
              <a:solidFill>
                <a:schemeClr val="bg1"/>
              </a:solidFill>
              <a:round/>
            </a:ln>
            <a:effectLst/>
          </c:spPr>
        </c:majorGridlines>
        <c:numFmt formatCode="General" sourceLinked="1"/>
        <c:majorTickMark val="none"/>
        <c:minorTickMark val="none"/>
        <c:tickLblPos val="nextTo"/>
        <c:crossAx val="281151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Average Daily Return</a:t>
            </a:r>
            <a:r>
              <a:rPr lang="en-US" sz="1200" b="1" baseline="0">
                <a:solidFill>
                  <a:sysClr val="windowText" lastClr="000000"/>
                </a:solidFill>
                <a:latin typeface="Times New Roman" panose="02020603050405020304" pitchFamily="18" charset="0"/>
                <a:cs typeface="Times New Roman" panose="02020603050405020304" pitchFamily="18" charset="0"/>
              </a:rPr>
              <a:t> of Stocks</a:t>
            </a:r>
            <a:endParaRPr lang="en-US" sz="12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Sheet1!$G$13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7-4E53-B769-7CD143B81B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7-4E53-B769-7CD143B81B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F7-4E53-B769-7CD143B81B8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F7-4E53-B769-7CD143B81B8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5F7-4E53-B769-7CD143B81B8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5F7-4E53-B769-7CD143B81B8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5F7-4E53-B769-7CD143B81B8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5F7-4E53-B769-7CD143B81B8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Sheet1!$F$14:$F$22</c:f>
              <c:strCache>
                <c:ptCount val="8"/>
                <c:pt idx="0">
                  <c:v>Amazon</c:v>
                </c:pt>
                <c:pt idx="1">
                  <c:v>Apple</c:v>
                </c:pt>
                <c:pt idx="2">
                  <c:v>HDFC Bank</c:v>
                </c:pt>
                <c:pt idx="3">
                  <c:v>Infosys</c:v>
                </c:pt>
                <c:pt idx="4">
                  <c:v>Microsoft</c:v>
                </c:pt>
                <c:pt idx="5">
                  <c:v>Pfizer</c:v>
                </c:pt>
                <c:pt idx="6">
                  <c:v>Reliance</c:v>
                </c:pt>
                <c:pt idx="7">
                  <c:v>TCS</c:v>
                </c:pt>
              </c:strCache>
            </c:strRef>
          </c:cat>
          <c:val>
            <c:numRef>
              <c:f>Sheet1!$G$14:$G$22</c:f>
              <c:numCache>
                <c:formatCode>0.000%</c:formatCode>
                <c:ptCount val="8"/>
                <c:pt idx="0">
                  <c:v>1.010887702854309E-2</c:v>
                </c:pt>
                <c:pt idx="1">
                  <c:v>-4.4708493700765239E-3</c:v>
                </c:pt>
                <c:pt idx="2">
                  <c:v>5.899977100598152E-3</c:v>
                </c:pt>
                <c:pt idx="3">
                  <c:v>4.0043995319779249E-3</c:v>
                </c:pt>
                <c:pt idx="4">
                  <c:v>-7.749884465439483E-4</c:v>
                </c:pt>
                <c:pt idx="5">
                  <c:v>8.030244475279516E-3</c:v>
                </c:pt>
                <c:pt idx="6">
                  <c:v>-4.6570733333162646E-3</c:v>
                </c:pt>
                <c:pt idx="7">
                  <c:v>7.3026906755430861E-5</c:v>
                </c:pt>
              </c:numCache>
            </c:numRef>
          </c:val>
          <c:extLst>
            <c:ext xmlns:c16="http://schemas.microsoft.com/office/drawing/2014/chart" uri="{C3380CC4-5D6E-409C-BE32-E72D297353CC}">
              <c16:uniqueId val="{00000000-164C-4C63-83E4-7ED63923C71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Analysis.xlsx]Sheet1!PivotTable10</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solidFill>
                  <a:sysClr val="windowText" lastClr="000000"/>
                </a:solidFill>
                <a:latin typeface="Times New Roman" panose="02020603050405020304" pitchFamily="18" charset="0"/>
                <a:cs typeface="Times New Roman" panose="02020603050405020304" pitchFamily="18" charset="0"/>
              </a:rPr>
              <a:t>Total Fees per Stock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Sheet1!$G$24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C1E6-4338-AC4C-028E2685344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C1E6-4338-AC4C-028E2685344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C1E6-4338-AC4C-028E2685344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C1E6-4338-AC4C-028E2685344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C1E6-4338-AC4C-028E26853441}"/>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C1E6-4338-AC4C-028E26853441}"/>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C1E6-4338-AC4C-028E26853441}"/>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C1E6-4338-AC4C-028E2685344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Sheet1!$F$25:$F$33</c:f>
              <c:strCache>
                <c:ptCount val="8"/>
                <c:pt idx="0">
                  <c:v>Amazon</c:v>
                </c:pt>
                <c:pt idx="1">
                  <c:v>Apple</c:v>
                </c:pt>
                <c:pt idx="2">
                  <c:v>HDFC Bank</c:v>
                </c:pt>
                <c:pt idx="3">
                  <c:v>Infosys</c:v>
                </c:pt>
                <c:pt idx="4">
                  <c:v>Microsoft</c:v>
                </c:pt>
                <c:pt idx="5">
                  <c:v>Pfizer</c:v>
                </c:pt>
                <c:pt idx="6">
                  <c:v>Reliance</c:v>
                </c:pt>
                <c:pt idx="7">
                  <c:v>TCS</c:v>
                </c:pt>
              </c:strCache>
            </c:strRef>
          </c:cat>
          <c:val>
            <c:numRef>
              <c:f>Sheet1!$G$25:$G$33</c:f>
              <c:numCache>
                <c:formatCode>General</c:formatCode>
                <c:ptCount val="8"/>
                <c:pt idx="0">
                  <c:v>11855.1</c:v>
                </c:pt>
                <c:pt idx="1">
                  <c:v>3501.51</c:v>
                </c:pt>
                <c:pt idx="2">
                  <c:v>31136.05</c:v>
                </c:pt>
                <c:pt idx="3">
                  <c:v>18992.560000000001</c:v>
                </c:pt>
                <c:pt idx="4">
                  <c:v>4313.76</c:v>
                </c:pt>
                <c:pt idx="5">
                  <c:v>18441.2</c:v>
                </c:pt>
                <c:pt idx="6">
                  <c:v>10955.13</c:v>
                </c:pt>
                <c:pt idx="7">
                  <c:v>11098.8</c:v>
                </c:pt>
              </c:numCache>
            </c:numRef>
          </c:val>
          <c:extLst>
            <c:ext xmlns:c16="http://schemas.microsoft.com/office/drawing/2014/chart" uri="{C3380CC4-5D6E-409C-BE32-E72D297353CC}">
              <c16:uniqueId val="{00000000-ECE0-4FE5-A29E-59739468A60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[Stock Market Analysis.xlsx]Sheet1!PivotTable1</c:name>
    <c:fmtId val="7"/>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Average</a:t>
            </a:r>
            <a:r>
              <a:rPr lang="en-US" sz="1200" b="1" baseline="0">
                <a:solidFill>
                  <a:sysClr val="windowText" lastClr="000000"/>
                </a:solidFill>
                <a:latin typeface="Times New Roman" panose="02020603050405020304" pitchFamily="18" charset="0"/>
                <a:cs typeface="Times New Roman" panose="02020603050405020304" pitchFamily="18" charset="0"/>
              </a:rPr>
              <a:t> Volume of Shares</a:t>
            </a:r>
            <a:endParaRPr lang="en-US" sz="12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solidFill>
              <a:schemeClr val="accent3"/>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Sheet1!$A$2:$A$10</c:f>
              <c:strCache>
                <c:ptCount val="8"/>
                <c:pt idx="0">
                  <c:v>Amazon</c:v>
                </c:pt>
                <c:pt idx="1">
                  <c:v>Apple</c:v>
                </c:pt>
                <c:pt idx="2">
                  <c:v>HDFC Bank</c:v>
                </c:pt>
                <c:pt idx="3">
                  <c:v>Infosys</c:v>
                </c:pt>
                <c:pt idx="4">
                  <c:v>Microsoft</c:v>
                </c:pt>
                <c:pt idx="5">
                  <c:v>Pfizer</c:v>
                </c:pt>
                <c:pt idx="6">
                  <c:v>Reliance</c:v>
                </c:pt>
                <c:pt idx="7">
                  <c:v>TCS</c:v>
                </c:pt>
              </c:strCache>
            </c:strRef>
          </c:cat>
          <c:val>
            <c:numRef>
              <c:f>Sheet1!$B$2:$B$10</c:f>
              <c:numCache>
                <c:formatCode>0</c:formatCode>
                <c:ptCount val="8"/>
                <c:pt idx="0">
                  <c:v>25383.449612403099</c:v>
                </c:pt>
                <c:pt idx="1">
                  <c:v>24705.674418604653</c:v>
                </c:pt>
                <c:pt idx="2">
                  <c:v>26012.976744186046</c:v>
                </c:pt>
                <c:pt idx="3">
                  <c:v>24653.922480620156</c:v>
                </c:pt>
                <c:pt idx="4">
                  <c:v>25531.798449612405</c:v>
                </c:pt>
                <c:pt idx="5">
                  <c:v>24664.891472868218</c:v>
                </c:pt>
                <c:pt idx="6">
                  <c:v>27069.81395348837</c:v>
                </c:pt>
                <c:pt idx="7">
                  <c:v>25295.844961240309</c:v>
                </c:pt>
              </c:numCache>
            </c:numRef>
          </c:val>
          <c:extLst>
            <c:ext xmlns:c16="http://schemas.microsoft.com/office/drawing/2014/chart" uri="{C3380CC4-5D6E-409C-BE32-E72D297353CC}">
              <c16:uniqueId val="{00000000-7128-420C-8A11-FF4CF0E37C15}"/>
            </c:ext>
          </c:extLst>
        </c:ser>
        <c:dLbls>
          <c:dLblPos val="outEnd"/>
          <c:showLegendKey val="0"/>
          <c:showVal val="1"/>
          <c:showCatName val="0"/>
          <c:showSerName val="0"/>
          <c:showPercent val="0"/>
          <c:showBubbleSize val="0"/>
        </c:dLbls>
        <c:gapWidth val="219"/>
        <c:overlap val="-27"/>
        <c:axId val="281138639"/>
        <c:axId val="281139119"/>
      </c:barChart>
      <c:catAx>
        <c:axId val="28113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81139119"/>
        <c:crosses val="autoZero"/>
        <c:auto val="1"/>
        <c:lblAlgn val="ctr"/>
        <c:lblOffset val="100"/>
        <c:noMultiLvlLbl val="0"/>
      </c:catAx>
      <c:valAx>
        <c:axId val="281139119"/>
        <c:scaling>
          <c:orientation val="minMax"/>
        </c:scaling>
        <c:delete val="1"/>
        <c:axPos val="l"/>
        <c:majorGridlines>
          <c:spPr>
            <a:ln w="9525" cap="flat" cmpd="sng" algn="ctr">
              <a:solidFill>
                <a:schemeClr val="bg1"/>
              </a:solidFill>
              <a:round/>
            </a:ln>
            <a:effectLst/>
          </c:spPr>
        </c:majorGridlines>
        <c:numFmt formatCode="0" sourceLinked="1"/>
        <c:majorTickMark val="none"/>
        <c:minorTickMark val="none"/>
        <c:tickLblPos val="nextTo"/>
        <c:crossAx val="28113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Total Trade Value per Company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Sheet1!$B$24</c:f>
              <c:strCache>
                <c:ptCount val="1"/>
                <c:pt idx="0">
                  <c:v>Total</c:v>
                </c:pt>
              </c:strCache>
            </c:strRef>
          </c:tx>
          <c:spPr>
            <a:solidFill>
              <a:schemeClr val="accent1"/>
            </a:solidFill>
            <a:ln>
              <a:noFill/>
            </a:ln>
            <a:effectLst/>
          </c:spPr>
          <c:invertIfNegative val="0"/>
          <c:dLbls>
            <c:spPr>
              <a:solidFill>
                <a:schemeClr val="accent5">
                  <a:lumMod val="20000"/>
                  <a:lumOff val="8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Sheet1!$A$25:$A$33</c:f>
              <c:strCache>
                <c:ptCount val="8"/>
                <c:pt idx="0">
                  <c:v>Amazon</c:v>
                </c:pt>
                <c:pt idx="1">
                  <c:v>Apple</c:v>
                </c:pt>
                <c:pt idx="2">
                  <c:v>HDFC Bank</c:v>
                </c:pt>
                <c:pt idx="3">
                  <c:v>Infosys</c:v>
                </c:pt>
                <c:pt idx="4">
                  <c:v>Microsoft</c:v>
                </c:pt>
                <c:pt idx="5">
                  <c:v>Pfizer</c:v>
                </c:pt>
                <c:pt idx="6">
                  <c:v>Reliance</c:v>
                </c:pt>
                <c:pt idx="7">
                  <c:v>TCS</c:v>
                </c:pt>
              </c:strCache>
            </c:strRef>
          </c:cat>
          <c:val>
            <c:numRef>
              <c:f>Sheet1!$B$25:$B$33</c:f>
              <c:numCache>
                <c:formatCode>0</c:formatCode>
                <c:ptCount val="8"/>
                <c:pt idx="0">
                  <c:v>324797.05931506853</c:v>
                </c:pt>
                <c:pt idx="1">
                  <c:v>122860.82456140348</c:v>
                </c:pt>
                <c:pt idx="2">
                  <c:v>1055458.6576271188</c:v>
                </c:pt>
                <c:pt idx="3">
                  <c:v>633085.01133333321</c:v>
                </c:pt>
                <c:pt idx="4">
                  <c:v>132730.9386153846</c:v>
                </c:pt>
                <c:pt idx="5">
                  <c:v>585434.31936507917</c:v>
                </c:pt>
                <c:pt idx="6">
                  <c:v>359184.66475409822</c:v>
                </c:pt>
                <c:pt idx="7">
                  <c:v>358025.18693548394</c:v>
                </c:pt>
              </c:numCache>
            </c:numRef>
          </c:val>
          <c:extLst>
            <c:ext xmlns:c16="http://schemas.microsoft.com/office/drawing/2014/chart" uri="{C3380CC4-5D6E-409C-BE32-E72D297353CC}">
              <c16:uniqueId val="{00000000-793B-4626-8B62-DD0639F088EA}"/>
            </c:ext>
          </c:extLst>
        </c:ser>
        <c:dLbls>
          <c:showLegendKey val="0"/>
          <c:showVal val="0"/>
          <c:showCatName val="0"/>
          <c:showSerName val="0"/>
          <c:showPercent val="0"/>
          <c:showBubbleSize val="0"/>
        </c:dLbls>
        <c:gapWidth val="219"/>
        <c:overlap val="-27"/>
        <c:axId val="1115053007"/>
        <c:axId val="1115051567"/>
      </c:barChart>
      <c:catAx>
        <c:axId val="111505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5051567"/>
        <c:crosses val="autoZero"/>
        <c:auto val="1"/>
        <c:lblAlgn val="ctr"/>
        <c:lblOffset val="100"/>
        <c:noMultiLvlLbl val="0"/>
      </c:catAx>
      <c:valAx>
        <c:axId val="1115051567"/>
        <c:scaling>
          <c:orientation val="minMax"/>
        </c:scaling>
        <c:delete val="1"/>
        <c:axPos val="l"/>
        <c:majorGridlines>
          <c:spPr>
            <a:ln w="9525" cap="flat" cmpd="sng" algn="ctr">
              <a:solidFill>
                <a:schemeClr val="bg1"/>
              </a:solidFill>
              <a:round/>
            </a:ln>
            <a:effectLst/>
          </c:spPr>
        </c:majorGridlines>
        <c:numFmt formatCode="0" sourceLinked="1"/>
        <c:majorTickMark val="none"/>
        <c:minorTickMark val="none"/>
        <c:tickLblPos val="nextTo"/>
        <c:crossAx val="111505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Average Daily Return</a:t>
            </a:r>
            <a:r>
              <a:rPr lang="en-US" sz="1200" b="1" baseline="0">
                <a:solidFill>
                  <a:sysClr val="windowText" lastClr="000000"/>
                </a:solidFill>
                <a:latin typeface="Times New Roman" panose="02020603050405020304" pitchFamily="18" charset="0"/>
                <a:cs typeface="Times New Roman" panose="02020603050405020304" pitchFamily="18" charset="0"/>
              </a:rPr>
              <a:t> of Stocks</a:t>
            </a:r>
            <a:endParaRPr lang="en-US" sz="1200"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Sheet1!$G$13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72-40F5-9AC6-59518056D3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72-40F5-9AC6-59518056D3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72-40F5-9AC6-59518056D39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072-40F5-9AC6-59518056D39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072-40F5-9AC6-59518056D39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072-40F5-9AC6-59518056D39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072-40F5-9AC6-59518056D39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072-40F5-9AC6-59518056D39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Sheet1!$F$14:$F$22</c:f>
              <c:strCache>
                <c:ptCount val="8"/>
                <c:pt idx="0">
                  <c:v>Amazon</c:v>
                </c:pt>
                <c:pt idx="1">
                  <c:v>Apple</c:v>
                </c:pt>
                <c:pt idx="2">
                  <c:v>HDFC Bank</c:v>
                </c:pt>
                <c:pt idx="3">
                  <c:v>Infosys</c:v>
                </c:pt>
                <c:pt idx="4">
                  <c:v>Microsoft</c:v>
                </c:pt>
                <c:pt idx="5">
                  <c:v>Pfizer</c:v>
                </c:pt>
                <c:pt idx="6">
                  <c:v>Reliance</c:v>
                </c:pt>
                <c:pt idx="7">
                  <c:v>TCS</c:v>
                </c:pt>
              </c:strCache>
            </c:strRef>
          </c:cat>
          <c:val>
            <c:numRef>
              <c:f>Sheet1!$G$14:$G$22</c:f>
              <c:numCache>
                <c:formatCode>0.000%</c:formatCode>
                <c:ptCount val="8"/>
                <c:pt idx="0">
                  <c:v>1.010887702854309E-2</c:v>
                </c:pt>
                <c:pt idx="1">
                  <c:v>-4.4708493700765239E-3</c:v>
                </c:pt>
                <c:pt idx="2">
                  <c:v>5.899977100598152E-3</c:v>
                </c:pt>
                <c:pt idx="3">
                  <c:v>4.0043995319779249E-3</c:v>
                </c:pt>
                <c:pt idx="4">
                  <c:v>-7.749884465439483E-4</c:v>
                </c:pt>
                <c:pt idx="5">
                  <c:v>8.030244475279516E-3</c:v>
                </c:pt>
                <c:pt idx="6">
                  <c:v>-4.6570733333162646E-3</c:v>
                </c:pt>
                <c:pt idx="7">
                  <c:v>7.3026906755430861E-5</c:v>
                </c:pt>
              </c:numCache>
            </c:numRef>
          </c:val>
          <c:extLst>
            <c:ext xmlns:c16="http://schemas.microsoft.com/office/drawing/2014/chart" uri="{C3380CC4-5D6E-409C-BE32-E72D297353CC}">
              <c16:uniqueId val="{00000010-2072-40F5-9AC6-59518056D39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Analysis.xlsx]Sheet1!PivotTable6</c:name>
    <c:fmtId val="5"/>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Total Buy &amp; Sell of Stocks</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Sheet1!$G$1:$G$2</c:f>
              <c:strCache>
                <c:ptCount val="1"/>
                <c:pt idx="0">
                  <c:v>BUY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Sheet1!$F$3:$F$11</c:f>
              <c:strCache>
                <c:ptCount val="8"/>
                <c:pt idx="0">
                  <c:v>Amazon</c:v>
                </c:pt>
                <c:pt idx="1">
                  <c:v>Apple</c:v>
                </c:pt>
                <c:pt idx="2">
                  <c:v>HDFC Bank</c:v>
                </c:pt>
                <c:pt idx="3">
                  <c:v>Infosys</c:v>
                </c:pt>
                <c:pt idx="4">
                  <c:v>Microsoft</c:v>
                </c:pt>
                <c:pt idx="5">
                  <c:v>Pfizer</c:v>
                </c:pt>
                <c:pt idx="6">
                  <c:v>Reliance</c:v>
                </c:pt>
                <c:pt idx="7">
                  <c:v>TCS</c:v>
                </c:pt>
              </c:strCache>
            </c:strRef>
          </c:cat>
          <c:val>
            <c:numRef>
              <c:f>Sheet1!$G$3:$G$11</c:f>
              <c:numCache>
                <c:formatCode>General</c:formatCode>
                <c:ptCount val="8"/>
                <c:pt idx="0">
                  <c:v>20207</c:v>
                </c:pt>
                <c:pt idx="1">
                  <c:v>16842</c:v>
                </c:pt>
                <c:pt idx="2">
                  <c:v>16750</c:v>
                </c:pt>
                <c:pt idx="3">
                  <c:v>14701</c:v>
                </c:pt>
                <c:pt idx="4">
                  <c:v>18228</c:v>
                </c:pt>
                <c:pt idx="5">
                  <c:v>18098</c:v>
                </c:pt>
                <c:pt idx="6">
                  <c:v>15905</c:v>
                </c:pt>
                <c:pt idx="7">
                  <c:v>13554</c:v>
                </c:pt>
              </c:numCache>
            </c:numRef>
          </c:val>
          <c:extLst>
            <c:ext xmlns:c16="http://schemas.microsoft.com/office/drawing/2014/chart" uri="{C3380CC4-5D6E-409C-BE32-E72D297353CC}">
              <c16:uniqueId val="{00000000-A601-4E20-9258-D0A6DDEACB65}"/>
            </c:ext>
          </c:extLst>
        </c:ser>
        <c:ser>
          <c:idx val="1"/>
          <c:order val="1"/>
          <c:tx>
            <c:strRef>
              <c:f>Sheet1!$H$1:$H$2</c:f>
              <c:strCache>
                <c:ptCount val="1"/>
                <c:pt idx="0">
                  <c:v>SELL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Sheet1!$F$3:$F$11</c:f>
              <c:strCache>
                <c:ptCount val="8"/>
                <c:pt idx="0">
                  <c:v>Amazon</c:v>
                </c:pt>
                <c:pt idx="1">
                  <c:v>Apple</c:v>
                </c:pt>
                <c:pt idx="2">
                  <c:v>HDFC Bank</c:v>
                </c:pt>
                <c:pt idx="3">
                  <c:v>Infosys</c:v>
                </c:pt>
                <c:pt idx="4">
                  <c:v>Microsoft</c:v>
                </c:pt>
                <c:pt idx="5">
                  <c:v>Pfizer</c:v>
                </c:pt>
                <c:pt idx="6">
                  <c:v>Reliance</c:v>
                </c:pt>
                <c:pt idx="7">
                  <c:v>TCS</c:v>
                </c:pt>
              </c:strCache>
            </c:strRef>
          </c:cat>
          <c:val>
            <c:numRef>
              <c:f>Sheet1!$H$3:$H$11</c:f>
              <c:numCache>
                <c:formatCode>General</c:formatCode>
                <c:ptCount val="8"/>
                <c:pt idx="0">
                  <c:v>21820</c:v>
                </c:pt>
                <c:pt idx="1">
                  <c:v>12057</c:v>
                </c:pt>
                <c:pt idx="2">
                  <c:v>12154</c:v>
                </c:pt>
                <c:pt idx="3">
                  <c:v>15361</c:v>
                </c:pt>
                <c:pt idx="4">
                  <c:v>18210</c:v>
                </c:pt>
                <c:pt idx="5">
                  <c:v>12753</c:v>
                </c:pt>
                <c:pt idx="6">
                  <c:v>18218</c:v>
                </c:pt>
                <c:pt idx="7">
                  <c:v>14861</c:v>
                </c:pt>
              </c:numCache>
            </c:numRef>
          </c:val>
          <c:extLst>
            <c:ext xmlns:c16="http://schemas.microsoft.com/office/drawing/2014/chart" uri="{C3380CC4-5D6E-409C-BE32-E72D297353CC}">
              <c16:uniqueId val="{00000001-A601-4E20-9258-D0A6DDEACB65}"/>
            </c:ext>
          </c:extLst>
        </c:ser>
        <c:dLbls>
          <c:dLblPos val="outEnd"/>
          <c:showLegendKey val="0"/>
          <c:showVal val="1"/>
          <c:showCatName val="0"/>
          <c:showSerName val="0"/>
          <c:showPercent val="0"/>
          <c:showBubbleSize val="0"/>
        </c:dLbls>
        <c:gapWidth val="75"/>
        <c:overlap val="-25"/>
        <c:axId val="281151119"/>
        <c:axId val="281151599"/>
      </c:barChart>
      <c:catAx>
        <c:axId val="281151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281151599"/>
        <c:crosses val="autoZero"/>
        <c:auto val="1"/>
        <c:lblAlgn val="ctr"/>
        <c:lblOffset val="100"/>
        <c:noMultiLvlLbl val="0"/>
      </c:catAx>
      <c:valAx>
        <c:axId val="281151599"/>
        <c:scaling>
          <c:orientation val="minMax"/>
        </c:scaling>
        <c:delete val="1"/>
        <c:axPos val="l"/>
        <c:majorGridlines>
          <c:spPr>
            <a:ln w="9525" cap="flat" cmpd="sng" algn="ctr">
              <a:solidFill>
                <a:schemeClr val="bg1"/>
              </a:solidFill>
              <a:round/>
            </a:ln>
            <a:effectLst/>
          </c:spPr>
        </c:majorGridlines>
        <c:numFmt formatCode="General" sourceLinked="1"/>
        <c:majorTickMark val="none"/>
        <c:minorTickMark val="none"/>
        <c:tickLblPos val="nextTo"/>
        <c:crossAx val="281151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8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Analysis.xlsx]Sheet1!PivotTable10</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200">
                <a:solidFill>
                  <a:sysClr val="windowText" lastClr="000000"/>
                </a:solidFill>
                <a:latin typeface="Times New Roman" panose="02020603050405020304" pitchFamily="18" charset="0"/>
                <a:cs typeface="Times New Roman" panose="02020603050405020304" pitchFamily="18" charset="0"/>
              </a:rPr>
              <a:t>Total Fees per Stock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pieChart>
        <c:varyColors val="1"/>
        <c:ser>
          <c:idx val="0"/>
          <c:order val="0"/>
          <c:tx>
            <c:strRef>
              <c:f>Sheet1!$G$24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014F-4BF8-84A2-8E3FB0F2D76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014F-4BF8-84A2-8E3FB0F2D76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014F-4BF8-84A2-8E3FB0F2D76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014F-4BF8-84A2-8E3FB0F2D76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9-014F-4BF8-84A2-8E3FB0F2D76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B-014F-4BF8-84A2-8E3FB0F2D76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D-014F-4BF8-84A2-8E3FB0F2D76A}"/>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F-014F-4BF8-84A2-8E3FB0F2D76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Sheet1!$F$25:$F$33</c:f>
              <c:strCache>
                <c:ptCount val="8"/>
                <c:pt idx="0">
                  <c:v>Amazon</c:v>
                </c:pt>
                <c:pt idx="1">
                  <c:v>Apple</c:v>
                </c:pt>
                <c:pt idx="2">
                  <c:v>HDFC Bank</c:v>
                </c:pt>
                <c:pt idx="3">
                  <c:v>Infosys</c:v>
                </c:pt>
                <c:pt idx="4">
                  <c:v>Microsoft</c:v>
                </c:pt>
                <c:pt idx="5">
                  <c:v>Pfizer</c:v>
                </c:pt>
                <c:pt idx="6">
                  <c:v>Reliance</c:v>
                </c:pt>
                <c:pt idx="7">
                  <c:v>TCS</c:v>
                </c:pt>
              </c:strCache>
            </c:strRef>
          </c:cat>
          <c:val>
            <c:numRef>
              <c:f>Sheet1!$G$25:$G$33</c:f>
              <c:numCache>
                <c:formatCode>General</c:formatCode>
                <c:ptCount val="8"/>
                <c:pt idx="0">
                  <c:v>11855.1</c:v>
                </c:pt>
                <c:pt idx="1">
                  <c:v>3501.51</c:v>
                </c:pt>
                <c:pt idx="2">
                  <c:v>31136.05</c:v>
                </c:pt>
                <c:pt idx="3">
                  <c:v>18992.560000000001</c:v>
                </c:pt>
                <c:pt idx="4">
                  <c:v>4313.76</c:v>
                </c:pt>
                <c:pt idx="5">
                  <c:v>18441.2</c:v>
                </c:pt>
                <c:pt idx="6">
                  <c:v>10955.13</c:v>
                </c:pt>
                <c:pt idx="7">
                  <c:v>11098.8</c:v>
                </c:pt>
              </c:numCache>
            </c:numRef>
          </c:val>
          <c:extLst>
            <c:ext xmlns:c16="http://schemas.microsoft.com/office/drawing/2014/chart" uri="{C3380CC4-5D6E-409C-BE32-E72D297353CC}">
              <c16:uniqueId val="{00000010-014F-4BF8-84A2-8E3FB0F2D76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Analysis.xlsx]Sheet1!PivotTable4</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ysClr val="windowText" lastClr="000000"/>
                </a:solidFill>
                <a:latin typeface="Times New Roman" panose="02020603050405020304" pitchFamily="18" charset="0"/>
                <a:cs typeface="Times New Roman" panose="02020603050405020304" pitchFamily="18" charset="0"/>
              </a:rPr>
              <a:t>52 Week High &amp; Low Prices </a:t>
            </a:r>
          </a:p>
        </c:rich>
      </c:tx>
      <c:layout>
        <c:manualLayout>
          <c:xMode val="edge"/>
          <c:yMode val="edge"/>
          <c:x val="0.30731010108884904"/>
          <c:y val="3.333333333333333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206647436397183"/>
          <c:y val="0.1173582200232005"/>
          <c:w val="0.70119669447259692"/>
          <c:h val="0.61226640419947509"/>
        </c:manualLayout>
      </c:layout>
      <c:lineChart>
        <c:grouping val="standard"/>
        <c:varyColors val="0"/>
        <c:ser>
          <c:idx val="0"/>
          <c:order val="0"/>
          <c:tx>
            <c:strRef>
              <c:f>Sheet1!$B$12</c:f>
              <c:strCache>
                <c:ptCount val="1"/>
                <c:pt idx="0">
                  <c:v>Max of high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Sheet1!$A$13:$A$21</c:f>
              <c:strCache>
                <c:ptCount val="8"/>
                <c:pt idx="0">
                  <c:v>HDFC Bank</c:v>
                </c:pt>
                <c:pt idx="1">
                  <c:v>Pfizer</c:v>
                </c:pt>
                <c:pt idx="2">
                  <c:v>Infosys</c:v>
                </c:pt>
                <c:pt idx="3">
                  <c:v>TCS</c:v>
                </c:pt>
                <c:pt idx="4">
                  <c:v>Reliance</c:v>
                </c:pt>
                <c:pt idx="5">
                  <c:v>Amazon</c:v>
                </c:pt>
                <c:pt idx="6">
                  <c:v>Apple</c:v>
                </c:pt>
                <c:pt idx="7">
                  <c:v>Microsoft</c:v>
                </c:pt>
              </c:strCache>
            </c:strRef>
          </c:cat>
          <c:val>
            <c:numRef>
              <c:f>Sheet1!$B$13:$B$21</c:f>
              <c:numCache>
                <c:formatCode>0</c:formatCode>
                <c:ptCount val="8"/>
                <c:pt idx="0">
                  <c:v>2324.77</c:v>
                </c:pt>
                <c:pt idx="1">
                  <c:v>1462.28</c:v>
                </c:pt>
                <c:pt idx="2">
                  <c:v>1359.78</c:v>
                </c:pt>
                <c:pt idx="3">
                  <c:v>857.85</c:v>
                </c:pt>
                <c:pt idx="4">
                  <c:v>714.67</c:v>
                </c:pt>
                <c:pt idx="5">
                  <c:v>635.26</c:v>
                </c:pt>
                <c:pt idx="6">
                  <c:v>268.10000000000002</c:v>
                </c:pt>
                <c:pt idx="7">
                  <c:v>254.93</c:v>
                </c:pt>
              </c:numCache>
            </c:numRef>
          </c:val>
          <c:smooth val="0"/>
          <c:extLst>
            <c:ext xmlns:c16="http://schemas.microsoft.com/office/drawing/2014/chart" uri="{C3380CC4-5D6E-409C-BE32-E72D297353CC}">
              <c16:uniqueId val="{00000000-05FB-42F5-A608-DC6A35568B2D}"/>
            </c:ext>
          </c:extLst>
        </c:ser>
        <c:ser>
          <c:idx val="1"/>
          <c:order val="1"/>
          <c:tx>
            <c:strRef>
              <c:f>Sheet1!$C$12</c:f>
              <c:strCache>
                <c:ptCount val="1"/>
                <c:pt idx="0">
                  <c:v>Min of low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Sheet1!$A$13:$A$21</c:f>
              <c:strCache>
                <c:ptCount val="8"/>
                <c:pt idx="0">
                  <c:v>HDFC Bank</c:v>
                </c:pt>
                <c:pt idx="1">
                  <c:v>Pfizer</c:v>
                </c:pt>
                <c:pt idx="2">
                  <c:v>Infosys</c:v>
                </c:pt>
                <c:pt idx="3">
                  <c:v>TCS</c:v>
                </c:pt>
                <c:pt idx="4">
                  <c:v>Reliance</c:v>
                </c:pt>
                <c:pt idx="5">
                  <c:v>Amazon</c:v>
                </c:pt>
                <c:pt idx="6">
                  <c:v>Apple</c:v>
                </c:pt>
                <c:pt idx="7">
                  <c:v>Microsoft</c:v>
                </c:pt>
              </c:strCache>
            </c:strRef>
          </c:cat>
          <c:val>
            <c:numRef>
              <c:f>Sheet1!$C$13:$C$21</c:f>
              <c:numCache>
                <c:formatCode>0</c:formatCode>
                <c:ptCount val="8"/>
                <c:pt idx="0">
                  <c:v>1940.66</c:v>
                </c:pt>
                <c:pt idx="1">
                  <c:v>940.81</c:v>
                </c:pt>
                <c:pt idx="2">
                  <c:v>1136.01</c:v>
                </c:pt>
                <c:pt idx="3">
                  <c:v>722.55</c:v>
                </c:pt>
                <c:pt idx="4">
                  <c:v>585.61</c:v>
                </c:pt>
                <c:pt idx="5">
                  <c:v>443.03</c:v>
                </c:pt>
                <c:pt idx="6">
                  <c:v>223.76</c:v>
                </c:pt>
                <c:pt idx="7">
                  <c:v>209.62</c:v>
                </c:pt>
              </c:numCache>
            </c:numRef>
          </c:val>
          <c:smooth val="0"/>
          <c:extLst>
            <c:ext xmlns:c16="http://schemas.microsoft.com/office/drawing/2014/chart" uri="{C3380CC4-5D6E-409C-BE32-E72D297353CC}">
              <c16:uniqueId val="{00000001-05FB-42F5-A608-DC6A35568B2D}"/>
            </c:ext>
          </c:extLst>
        </c:ser>
        <c:dLbls>
          <c:showLegendKey val="0"/>
          <c:showVal val="0"/>
          <c:showCatName val="0"/>
          <c:showSerName val="0"/>
          <c:showPercent val="0"/>
          <c:showBubbleSize val="0"/>
        </c:dLbls>
        <c:marker val="1"/>
        <c:smooth val="0"/>
        <c:axId val="1115070287"/>
        <c:axId val="1115062127"/>
      </c:lineChart>
      <c:catAx>
        <c:axId val="1115070287"/>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8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5062127"/>
        <c:crosses val="autoZero"/>
        <c:auto val="1"/>
        <c:lblAlgn val="ctr"/>
        <c:lblOffset val="100"/>
        <c:noMultiLvlLbl val="0"/>
      </c:catAx>
      <c:valAx>
        <c:axId val="1115062127"/>
        <c:scaling>
          <c:orientation val="minMax"/>
        </c:scaling>
        <c:delete val="0"/>
        <c:axPos val="l"/>
        <c:majorGridlines>
          <c:spPr>
            <a:ln w="9525" cap="flat" cmpd="sng" algn="ctr">
              <a:solidFill>
                <a:schemeClr val="bg1"/>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115070287"/>
        <c:crosses val="autoZero"/>
        <c:crossBetween val="between"/>
      </c:valAx>
      <c:spPr>
        <a:noFill/>
        <a:ln>
          <a:noFill/>
        </a:ln>
        <a:effectLst/>
      </c:spPr>
    </c:plotArea>
    <c:legend>
      <c:legendPos val="r"/>
      <c:layout>
        <c:manualLayout>
          <c:xMode val="edge"/>
          <c:yMode val="edge"/>
          <c:x val="0.26326312335958008"/>
          <c:y val="0.90701399722455556"/>
          <c:w val="0.50062576552930882"/>
          <c:h val="6.93639555313499E-2"/>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9.xml"/><Relationship Id="rId7" Type="http://schemas.openxmlformats.org/officeDocument/2006/relationships/image" Target="../media/image1.pn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9</xdr:col>
      <xdr:colOff>121920</xdr:colOff>
      <xdr:row>0</xdr:row>
      <xdr:rowOff>3810</xdr:rowOff>
    </xdr:from>
    <xdr:to>
      <xdr:col>16</xdr:col>
      <xdr:colOff>449580</xdr:colOff>
      <xdr:row>15</xdr:row>
      <xdr:rowOff>3810</xdr:rowOff>
    </xdr:to>
    <xdr:graphicFrame macro="">
      <xdr:nvGraphicFramePr>
        <xdr:cNvPr id="2" name="Chart 1">
          <a:extLst>
            <a:ext uri="{FF2B5EF4-FFF2-40B4-BE49-F238E27FC236}">
              <a16:creationId xmlns:a16="http://schemas.microsoft.com/office/drawing/2014/main" id="{65B632D3-D747-ED03-4CAD-0290C718B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129540</xdr:colOff>
      <xdr:row>15</xdr:row>
      <xdr:rowOff>57150</xdr:rowOff>
    </xdr:from>
    <xdr:to>
      <xdr:col>16</xdr:col>
      <xdr:colOff>434340</xdr:colOff>
      <xdr:row>33</xdr:row>
      <xdr:rowOff>15240</xdr:rowOff>
    </xdr:to>
    <xdr:graphicFrame macro="">
      <xdr:nvGraphicFramePr>
        <xdr:cNvPr id="3" name="Chart 2">
          <a:extLst>
            <a:ext uri="{FF2B5EF4-FFF2-40B4-BE49-F238E27FC236}">
              <a16:creationId xmlns:a16="http://schemas.microsoft.com/office/drawing/2014/main" id="{4A8E6241-9877-C3E9-2541-57DF14DCDD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112222</xdr:colOff>
      <xdr:row>1</xdr:row>
      <xdr:rowOff>66155</xdr:rowOff>
    </xdr:from>
    <xdr:to>
      <xdr:col>23</xdr:col>
      <xdr:colOff>430876</xdr:colOff>
      <xdr:row>16</xdr:row>
      <xdr:rowOff>66156</xdr:rowOff>
    </xdr:to>
    <xdr:graphicFrame macro="">
      <xdr:nvGraphicFramePr>
        <xdr:cNvPr id="4" name="Chart 3">
          <a:extLst>
            <a:ext uri="{FF2B5EF4-FFF2-40B4-BE49-F238E27FC236}">
              <a16:creationId xmlns:a16="http://schemas.microsoft.com/office/drawing/2014/main" id="{D33105BF-24A4-42E3-12DD-1336899F0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544286</xdr:colOff>
      <xdr:row>16</xdr:row>
      <xdr:rowOff>152399</xdr:rowOff>
    </xdr:from>
    <xdr:to>
      <xdr:col>23</xdr:col>
      <xdr:colOff>413658</xdr:colOff>
      <xdr:row>32</xdr:row>
      <xdr:rowOff>163285</xdr:rowOff>
    </xdr:to>
    <xdr:graphicFrame macro="">
      <xdr:nvGraphicFramePr>
        <xdr:cNvPr id="5" name="Chart 4">
          <a:extLst>
            <a:ext uri="{FF2B5EF4-FFF2-40B4-BE49-F238E27FC236}">
              <a16:creationId xmlns:a16="http://schemas.microsoft.com/office/drawing/2014/main" id="{BFF10FE9-5C1D-AD86-CEAD-87556C201E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664028</xdr:colOff>
      <xdr:row>34</xdr:row>
      <xdr:rowOff>54428</xdr:rowOff>
    </xdr:from>
    <xdr:to>
      <xdr:col>13</xdr:col>
      <xdr:colOff>141514</xdr:colOff>
      <xdr:row>49</xdr:row>
      <xdr:rowOff>21771</xdr:rowOff>
    </xdr:to>
    <xdr:graphicFrame macro="">
      <xdr:nvGraphicFramePr>
        <xdr:cNvPr id="6" name="Chart 5">
          <a:extLst>
            <a:ext uri="{FF2B5EF4-FFF2-40B4-BE49-F238E27FC236}">
              <a16:creationId xmlns:a16="http://schemas.microsoft.com/office/drawing/2014/main" id="{1025121A-EB16-4C17-A066-F365D7313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446314</xdr:colOff>
      <xdr:row>33</xdr:row>
      <xdr:rowOff>21771</xdr:rowOff>
    </xdr:from>
    <xdr:to>
      <xdr:col>21</xdr:col>
      <xdr:colOff>141514</xdr:colOff>
      <xdr:row>47</xdr:row>
      <xdr:rowOff>174171</xdr:rowOff>
    </xdr:to>
    <xdr:graphicFrame macro="">
      <xdr:nvGraphicFramePr>
        <xdr:cNvPr id="7" name="Chart 6">
          <a:extLst>
            <a:ext uri="{FF2B5EF4-FFF2-40B4-BE49-F238E27FC236}">
              <a16:creationId xmlns:a16="http://schemas.microsoft.com/office/drawing/2014/main" id="{8658E424-3F4D-7440-6AD4-439910603F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20</xdr:col>
      <xdr:colOff>7620</xdr:colOff>
      <xdr:row>2</xdr:row>
      <xdr:rowOff>143435</xdr:rowOff>
    </xdr:to>
    <xdr:sp macro="" textlink="">
      <xdr:nvSpPr>
        <xdr:cNvPr id="2" name="TextBox 1">
          <a:extLst>
            <a:ext uri="{FF2B5EF4-FFF2-40B4-BE49-F238E27FC236}">
              <a16:creationId xmlns:a16="http://schemas.microsoft.com/office/drawing/2014/main" id="{B900DD01-AAD8-ED5E-73D5-2C0A9E745449}"/>
            </a:ext>
          </a:extLst>
        </xdr:cNvPr>
        <xdr:cNvSpPr txBox="1"/>
      </xdr:nvSpPr>
      <xdr:spPr>
        <a:xfrm>
          <a:off x="0" y="0"/>
          <a:ext cx="11590020" cy="573741"/>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1">
              <a:solidFill>
                <a:sysClr val="windowText" lastClr="000000"/>
              </a:solidFill>
              <a:latin typeface="Times New Roman" panose="02020603050405020304" pitchFamily="18" charset="0"/>
              <a:cs typeface="Times New Roman" panose="02020603050405020304" pitchFamily="18" charset="0"/>
            </a:rPr>
            <a:t>Stock Market Analysis</a:t>
          </a:r>
        </a:p>
      </xdr:txBody>
    </xdr:sp>
    <xdr:clientData/>
  </xdr:twoCellAnchor>
  <xdr:twoCellAnchor>
    <xdr:from>
      <xdr:col>0</xdr:col>
      <xdr:colOff>116541</xdr:colOff>
      <xdr:row>8</xdr:row>
      <xdr:rowOff>16910</xdr:rowOff>
    </xdr:from>
    <xdr:to>
      <xdr:col>7</xdr:col>
      <xdr:colOff>17930</xdr:colOff>
      <xdr:row>19</xdr:row>
      <xdr:rowOff>117316</xdr:rowOff>
    </xdr:to>
    <xdr:graphicFrame macro="">
      <xdr:nvGraphicFramePr>
        <xdr:cNvPr id="3" name="Chart 2">
          <a:extLst>
            <a:ext uri="{FF2B5EF4-FFF2-40B4-BE49-F238E27FC236}">
              <a16:creationId xmlns:a16="http://schemas.microsoft.com/office/drawing/2014/main" id="{D8236402-A427-4AC6-8269-1BBB7D2F2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63650</xdr:colOff>
      <xdr:row>8</xdr:row>
      <xdr:rowOff>16910</xdr:rowOff>
    </xdr:from>
    <xdr:to>
      <xdr:col>13</xdr:col>
      <xdr:colOff>351824</xdr:colOff>
      <xdr:row>19</xdr:row>
      <xdr:rowOff>117316</xdr:rowOff>
    </xdr:to>
    <xdr:graphicFrame macro="">
      <xdr:nvGraphicFramePr>
        <xdr:cNvPr id="4" name="Chart 3">
          <a:extLst>
            <a:ext uri="{FF2B5EF4-FFF2-40B4-BE49-F238E27FC236}">
              <a16:creationId xmlns:a16="http://schemas.microsoft.com/office/drawing/2014/main" id="{7447A05F-BD2F-476E-8121-9AB89CBB9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398930</xdr:colOff>
      <xdr:row>8</xdr:row>
      <xdr:rowOff>16910</xdr:rowOff>
    </xdr:from>
    <xdr:to>
      <xdr:col>20</xdr:col>
      <xdr:colOff>2690</xdr:colOff>
      <xdr:row>19</xdr:row>
      <xdr:rowOff>117316</xdr:rowOff>
    </xdr:to>
    <xdr:graphicFrame macro="">
      <xdr:nvGraphicFramePr>
        <xdr:cNvPr id="5" name="Chart 4">
          <a:extLst>
            <a:ext uri="{FF2B5EF4-FFF2-40B4-BE49-F238E27FC236}">
              <a16:creationId xmlns:a16="http://schemas.microsoft.com/office/drawing/2014/main" id="{5718F2D9-4930-4931-9B08-29C1E5250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116541</xdr:colOff>
      <xdr:row>19</xdr:row>
      <xdr:rowOff>178292</xdr:rowOff>
    </xdr:from>
    <xdr:to>
      <xdr:col>7</xdr:col>
      <xdr:colOff>17930</xdr:colOff>
      <xdr:row>32</xdr:row>
      <xdr:rowOff>81560</xdr:rowOff>
    </xdr:to>
    <xdr:graphicFrame macro="">
      <xdr:nvGraphicFramePr>
        <xdr:cNvPr id="6" name="Chart 5">
          <a:extLst>
            <a:ext uri="{FF2B5EF4-FFF2-40B4-BE49-F238E27FC236}">
              <a16:creationId xmlns:a16="http://schemas.microsoft.com/office/drawing/2014/main" id="{A52452BB-2F15-447A-A4AE-7990439425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63650</xdr:colOff>
      <xdr:row>19</xdr:row>
      <xdr:rowOff>178292</xdr:rowOff>
    </xdr:from>
    <xdr:to>
      <xdr:col>13</xdr:col>
      <xdr:colOff>368450</xdr:colOff>
      <xdr:row>32</xdr:row>
      <xdr:rowOff>81560</xdr:rowOff>
    </xdr:to>
    <xdr:graphicFrame macro="">
      <xdr:nvGraphicFramePr>
        <xdr:cNvPr id="7" name="Chart 6">
          <a:extLst>
            <a:ext uri="{FF2B5EF4-FFF2-40B4-BE49-F238E27FC236}">
              <a16:creationId xmlns:a16="http://schemas.microsoft.com/office/drawing/2014/main" id="{D16AB294-D6C1-4C02-9100-F31BE2E51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406550</xdr:colOff>
      <xdr:row>19</xdr:row>
      <xdr:rowOff>178292</xdr:rowOff>
    </xdr:from>
    <xdr:to>
      <xdr:col>19</xdr:col>
      <xdr:colOff>604670</xdr:colOff>
      <xdr:row>32</xdr:row>
      <xdr:rowOff>81560</xdr:rowOff>
    </xdr:to>
    <xdr:graphicFrame macro="">
      <xdr:nvGraphicFramePr>
        <xdr:cNvPr id="8" name="Chart 7">
          <a:extLst>
            <a:ext uri="{FF2B5EF4-FFF2-40B4-BE49-F238E27FC236}">
              <a16:creationId xmlns:a16="http://schemas.microsoft.com/office/drawing/2014/main" id="{FB73DC47-AFC7-4490-9561-834A0CE025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137160</xdr:colOff>
      <xdr:row>0</xdr:row>
      <xdr:rowOff>0</xdr:rowOff>
    </xdr:from>
    <xdr:to>
      <xdr:col>20</xdr:col>
      <xdr:colOff>7620</xdr:colOff>
      <xdr:row>3</xdr:row>
      <xdr:rowOff>15240</xdr:rowOff>
    </xdr:to>
    <mc:AlternateContent xmlns:mc="http://schemas.openxmlformats.org/markup-compatibility/2006" xmlns:a14="http://schemas.microsoft.com/office/drawing/2010/main">
      <mc:Choice Requires="a14">
        <xdr:graphicFrame macro="">
          <xdr:nvGraphicFramePr>
            <xdr:cNvPr id="9" name="Company">
              <a:extLst>
                <a:ext uri="{FF2B5EF4-FFF2-40B4-BE49-F238E27FC236}">
                  <a16:creationId xmlns:a16="http://schemas.microsoft.com/office/drawing/2014/main" id="{585A860D-D63E-70B3-AD7F-C34918F3937E}"/>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9840997" y="0"/>
              <a:ext cx="1689929" cy="603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556260</xdr:colOff>
      <xdr:row>0</xdr:row>
      <xdr:rowOff>68580</xdr:rowOff>
    </xdr:from>
    <xdr:to>
      <xdr:col>7</xdr:col>
      <xdr:colOff>533400</xdr:colOff>
      <xdr:row>2</xdr:row>
      <xdr:rowOff>144780</xdr:rowOff>
    </xdr:to>
    <xdr:pic>
      <xdr:nvPicPr>
        <xdr:cNvPr id="13" name="Graphic 12" descr="Bar graph with upward trend with solid fill">
          <a:extLst>
            <a:ext uri="{FF2B5EF4-FFF2-40B4-BE49-F238E27FC236}">
              <a16:creationId xmlns:a16="http://schemas.microsoft.com/office/drawing/2014/main" id="{45B8ED08-AAF1-4FD0-52BE-525391AAC22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04260" y="68580"/>
          <a:ext cx="586740" cy="51054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2.94141712963" backgroundQuery="1" createdVersion="8" refreshedVersion="8" minRefreshableVersion="3" recordCount="0" supportSubquery="1" supportAdvancedDrill="1" xr:uid="{3A1A0EF4-95FF-491A-B9C3-3C38B5A81CC5}">
  <cacheSource type="external" connectionId="1"/>
  <cacheFields count="2">
    <cacheField name="[Table3].[company_name].[company_name]" caption="company_name" numFmtId="0" hierarchy="15" level="1">
      <sharedItems count="8">
        <s v="Amazon"/>
        <s v="Apple"/>
        <s v="HDFC Bank"/>
        <s v="Infosys"/>
        <s v="Microsoft"/>
        <s v="Pfizer"/>
        <s v="Reliance"/>
        <s v="TCS"/>
      </sharedItems>
    </cacheField>
    <cacheField name="[Measures].[Average of Avg Trade Value]" caption="Average of Avg Trade Value" numFmtId="0" hierarchy="39" level="32767"/>
  </cacheFields>
  <cacheHierarchies count="45">
    <cacheHierarchy uniqueName="[Table11].[trade_id]" caption="trade_id" attribute="1" defaultMemberUniqueName="[Table11].[trade_id].[All]" allUniqueName="[Table11].[trade_id].[All]" dimensionUniqueName="[Table11]" displayFolder="" count="0" memberValueDatatype="130" unbalanced="0"/>
    <cacheHierarchy uniqueName="[Table11].[order_id]" caption="order_id" attribute="1" defaultMemberUniqueName="[Table11].[order_id].[All]" allUniqueName="[Table11].[order_id].[All]" dimensionUniqueName="[Table11]" displayFolder="" count="0" memberValueDatatype="130" unbalanced="0"/>
    <cacheHierarchy uniqueName="[Table11].[trade_ts]" caption="trade_ts" attribute="1" time="1" defaultMemberUniqueName="[Table11].[trade_ts].[All]" allUniqueName="[Table11].[trade_ts].[All]" dimensionUniqueName="[Table11]" displayFolder="" count="0" memberValueDatatype="7" unbalanced="0"/>
    <cacheHierarchy uniqueName="[Table11].[company_id]" caption="company_id" attribute="1" defaultMemberUniqueName="[Table11].[company_id].[All]" allUniqueName="[Table11].[company_id].[All]" dimensionUniqueName="[Table11]" displayFolder="" count="0" memberValueDatatype="130" unbalanced="0"/>
    <cacheHierarchy uniqueName="[Table11].[side]" caption="side" attribute="1" defaultMemberUniqueName="[Table11].[side].[All]" allUniqueName="[Table11].[side].[All]" dimensionUniqueName="[Table11]" displayFolder="" count="0" memberValueDatatype="130" unbalanced="0"/>
    <cacheHierarchy uniqueName="[Table11].[quantity]" caption="quantity" attribute="1" defaultMemberUniqueName="[Table11].[quantity].[All]" allUniqueName="[Table11].[quantity].[All]" dimensionUniqueName="[Table11]" displayFolder="" count="0" memberValueDatatype="20" unbalanced="0"/>
    <cacheHierarchy uniqueName="[Table11].[price]" caption="price" attribute="1" defaultMemberUniqueName="[Table11].[price].[All]" allUniqueName="[Table11].[price].[All]" dimensionUniqueName="[Table11]" displayFolder="" count="0" memberValueDatatype="5" unbalanced="0"/>
    <cacheHierarchy uniqueName="[Table11].[fees]" caption="fees" attribute="1" defaultMemberUniqueName="[Table11].[fees].[All]" allUniqueName="[Table11].[fees].[All]" dimensionUniqueName="[Table11]" displayFolder="" count="0" memberValueDatatype="5" unbalanced="0"/>
    <cacheHierarchy uniqueName="[Table11].[trader_id]" caption="trader_id" attribute="1" defaultMemberUniqueName="[Table11].[trader_id].[All]" allUniqueName="[Table11].[trader_id].[All]" dimensionUniqueName="[Table11]" displayFolder="" count="0" memberValueDatatype="130" unbalanced="0"/>
    <cacheHierarchy uniqueName="[Table11].[portfolio_id]" caption="portfolio_id" attribute="1" defaultMemberUniqueName="[Table11].[portfolio_id].[All]" allUniqueName="[Table11].[portfolio_id].[All]" dimensionUniqueName="[Table11]" displayFolder="" count="0" memberValueDatatype="130" unbalanced="0"/>
    <cacheHierarchy uniqueName="[Table11].[exchange_id]" caption="exchange_id" attribute="1" defaultMemberUniqueName="[Table11].[exchange_id].[All]" allUniqueName="[Table11].[exchange_id].[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Avg Trade Value]" caption="Avg Trade Value" attribute="1" defaultMemberUniqueName="[Table11].[Avg Trade Value].[All]" allUniqueName="[Table11].[Avg Trade Value].[All]" dimensionUniqueName="[Table11]" displayFolder="" count="0" memberValueDatatype="5" unbalanced="0"/>
    <cacheHierarchy uniqueName="[Table3].[company_id]" caption="company_id" attribute="1" defaultMemberUniqueName="[Table3].[company_id].[All]" allUniqueName="[Table3].[company_id].[All]" dimensionUniqueName="[Table3]" displayFolder="" count="0" memberValueDatatype="130" unbalanced="0"/>
    <cacheHierarchy uniqueName="[Table3].[ticker]" caption="ticker" attribute="1" defaultMemberUniqueName="[Table3].[ticker].[All]" allUniqueName="[Table3].[ticker].[All]" dimensionUniqueName="[Table3]" displayFolder="" count="0" memberValueDatatype="130" unbalanced="0"/>
    <cacheHierarchy uniqueName="[Table3].[company_name]" caption="company_name" attribute="1" defaultMemberUniqueName="[Table3].[company_name].[All]" allUniqueName="[Table3].[company_name].[All]" dimensionUniqueName="[Table3]" displayFolder="" count="2" memberValueDatatype="130" unbalanced="0">
      <fieldsUsage count="2">
        <fieldUsage x="-1"/>
        <fieldUsage x="0"/>
      </fieldsUsage>
    </cacheHierarchy>
    <cacheHierarchy uniqueName="[Table3].[sector_id]" caption="sector_id" attribute="1" defaultMemberUniqueName="[Table3].[sector_id].[All]" allUniqueName="[Table3].[sector_id].[All]" dimensionUniqueName="[Table3]" displayFolder="" count="0" memberValueDatatype="130" unbalanced="0"/>
    <cacheHierarchy uniqueName="[Table3].[exchange_id]" caption="exchange_id" attribute="1" defaultMemberUniqueName="[Table3].[exchange_id].[All]" allUniqueName="[Table3].[exchange_id].[All]" dimensionUniqueName="[Table3]"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company_id]" caption="company_id" attribute="1" defaultMemberUniqueName="[Table7].[company_id].[All]" allUniqueName="[Table7].[company_id].[All]" dimensionUniqueName="[Table7]" displayFolder="" count="0" memberValueDatatype="130" unbalanced="0"/>
    <cacheHierarchy uniqueName="[Table7].[open]" caption="open" attribute="1" defaultMemberUniqueName="[Table7].[open].[All]" allUniqueName="[Table7].[open].[All]" dimensionUniqueName="[Table7]" displayFolder="" count="0" memberValueDatatype="5" unbalanced="0"/>
    <cacheHierarchy uniqueName="[Table7].[high]" caption="high" attribute="1" defaultMemberUniqueName="[Table7].[high].[All]" allUniqueName="[Table7].[high].[All]" dimensionUniqueName="[Table7]" displayFolder="" count="0" memberValueDatatype="5" unbalanced="0"/>
    <cacheHierarchy uniqueName="[Table7].[low]" caption="low" attribute="1" defaultMemberUniqueName="[Table7].[low].[All]" allUniqueName="[Table7].[low].[All]" dimensionUniqueName="[Table7]" displayFolder="" count="0" memberValueDatatype="5" unbalanced="0"/>
    <cacheHierarchy uniqueName="[Table7].[close]" caption="close" attribute="1" defaultMemberUniqueName="[Table7].[close].[All]" allUniqueName="[Table7].[close].[All]" dimensionUniqueName="[Table7]" displayFolder="" count="0" memberValueDatatype="5" unbalanced="0"/>
    <cacheHierarchy uniqueName="[Table7].[volume]" caption="volume" attribute="1" defaultMemberUniqueName="[Table7].[volume].[All]" allUniqueName="[Table7].[volume].[All]" dimensionUniqueName="[Table7]" displayFolder="" count="0" memberValueDatatype="20" unbalanced="0"/>
    <cacheHierarchy uniqueName="[Table7].[Daily Return]" caption="Daily Return" attribute="1" defaultMemberUniqueName="[Table7].[Daily Return].[All]" allUniqueName="[Table7].[Daily Return].[All]" dimensionUniqueName="[Table7]" displayFolder="" count="0" memberValueDatatype="5" unbalanced="0"/>
    <cacheHierarchy uniqueName="[Measures].[Sum of volume]" caption="Sum of volume" measure="1" displayFolder="" measureGroup="Table7" count="0">
      <extLst>
        <ext xmlns:x15="http://schemas.microsoft.com/office/spreadsheetml/2010/11/main" uri="{B97F6D7D-B522-45F9-BDA1-12C45D357490}">
          <x15:cacheHierarchy aggregatedColumn="24"/>
        </ext>
      </extLst>
    </cacheHierarchy>
    <cacheHierarchy uniqueName="[Measures].[Average of volume]" caption="Average of volume" measure="1" displayFolder="" measureGroup="Table7" count="0">
      <extLst>
        <ext xmlns:x15="http://schemas.microsoft.com/office/spreadsheetml/2010/11/main" uri="{B97F6D7D-B522-45F9-BDA1-12C45D357490}">
          <x15:cacheHierarchy aggregatedColumn="24"/>
        </ext>
      </extLst>
    </cacheHierarchy>
    <cacheHierarchy uniqueName="[Measures].[Sum of high]" caption="Sum of high" measure="1" displayFolder="" measureGroup="Table7" count="0">
      <extLst>
        <ext xmlns:x15="http://schemas.microsoft.com/office/spreadsheetml/2010/11/main" uri="{B97F6D7D-B522-45F9-BDA1-12C45D357490}">
          <x15:cacheHierarchy aggregatedColumn="21"/>
        </ext>
      </extLst>
    </cacheHierarchy>
    <cacheHierarchy uniqueName="[Measures].[Sum of low]" caption="Sum of low" measure="1" displayFolder="" measureGroup="Table7" count="0">
      <extLst>
        <ext xmlns:x15="http://schemas.microsoft.com/office/spreadsheetml/2010/11/main" uri="{B97F6D7D-B522-45F9-BDA1-12C45D357490}">
          <x15:cacheHierarchy aggregatedColumn="22"/>
        </ext>
      </extLst>
    </cacheHierarchy>
    <cacheHierarchy uniqueName="[Measures].[Max of high]" caption="Max of high" measure="1" displayFolder="" measureGroup="Table7" count="0">
      <extLst>
        <ext xmlns:x15="http://schemas.microsoft.com/office/spreadsheetml/2010/11/main" uri="{B97F6D7D-B522-45F9-BDA1-12C45D357490}">
          <x15:cacheHierarchy aggregatedColumn="21"/>
        </ext>
      </extLst>
    </cacheHierarchy>
    <cacheHierarchy uniqueName="[Measures].[Min of low]" caption="Min of low" measure="1" displayFolder="" measureGroup="Table7" count="0">
      <extLst>
        <ext xmlns:x15="http://schemas.microsoft.com/office/spreadsheetml/2010/11/main" uri="{B97F6D7D-B522-45F9-BDA1-12C45D357490}">
          <x15:cacheHierarchy aggregatedColumn="22"/>
        </ext>
      </extLst>
    </cacheHierarchy>
    <cacheHierarchy uniqueName="[Measures].[Sum of Avg Trade Value]" caption="Sum of Avg Trade Value" measure="1" displayFolder="" measureGroup="Table11" count="0">
      <extLst>
        <ext xmlns:x15="http://schemas.microsoft.com/office/spreadsheetml/2010/11/main" uri="{B97F6D7D-B522-45F9-BDA1-12C45D357490}">
          <x15:cacheHierarchy aggregatedColumn="12"/>
        </ext>
      </extLst>
    </cacheHierarchy>
    <cacheHierarchy uniqueName="[Measures].[Max of Avg Trade Value]" caption="Max of Avg Trade Value" measure="1" displayFolder="" measureGroup="Table11" count="0">
      <extLst>
        <ext xmlns:x15="http://schemas.microsoft.com/office/spreadsheetml/2010/11/main" uri="{B97F6D7D-B522-45F9-BDA1-12C45D357490}">
          <x15:cacheHierarchy aggregatedColumn="12"/>
        </ext>
      </extLst>
    </cacheHierarchy>
    <cacheHierarchy uniqueName="[Measures].[Count of side]" caption="Count of side" measure="1" displayFolder="" measureGroup="Table11"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11" count="0">
      <extLst>
        <ext xmlns:x15="http://schemas.microsoft.com/office/spreadsheetml/2010/11/main" uri="{B97F6D7D-B522-45F9-BDA1-12C45D357490}">
          <x15:cacheHierarchy aggregatedColumn="5"/>
        </ext>
      </extLst>
    </cacheHierarchy>
    <cacheHierarchy uniqueName="[Measures].[Sum of Daily Return]" caption="Sum of Daily Return" measure="1" displayFolder="" measureGroup="Table7" count="0">
      <extLst>
        <ext xmlns:x15="http://schemas.microsoft.com/office/spreadsheetml/2010/11/main" uri="{B97F6D7D-B522-45F9-BDA1-12C45D357490}">
          <x15:cacheHierarchy aggregatedColumn="25"/>
        </ext>
      </extLst>
    </cacheHierarchy>
    <cacheHierarchy uniqueName="[Measures].[Average of Daily Return]" caption="Average of Daily Return" measure="1" displayFolder="" measureGroup="Table7" count="0">
      <extLst>
        <ext xmlns:x15="http://schemas.microsoft.com/office/spreadsheetml/2010/11/main" uri="{B97F6D7D-B522-45F9-BDA1-12C45D357490}">
          <x15:cacheHierarchy aggregatedColumn="25"/>
        </ext>
      </extLst>
    </cacheHierarchy>
    <cacheHierarchy uniqueName="[Measures].[Sum of fees]" caption="Sum of fees" measure="1" displayFolder="" measureGroup="Table11" count="0">
      <extLst>
        <ext xmlns:x15="http://schemas.microsoft.com/office/spreadsheetml/2010/11/main" uri="{B97F6D7D-B522-45F9-BDA1-12C45D357490}">
          <x15:cacheHierarchy aggregatedColumn="7"/>
        </ext>
      </extLst>
    </cacheHierarchy>
    <cacheHierarchy uniqueName="[Measures].[Average of Avg Trade Value]" caption="Average of Avg Trade Value" measure="1" displayFolder="" measureGroup="Table11" count="0" oneField="1">
      <fieldsUsage count="1">
        <fieldUsage x="1"/>
      </fieldsUsage>
      <extLst>
        <ext xmlns:x15="http://schemas.microsoft.com/office/spreadsheetml/2010/11/main" uri="{B97F6D7D-B522-45F9-BDA1-12C45D357490}">
          <x15:cacheHierarchy aggregatedColumn="12"/>
        </ext>
      </extLst>
    </cacheHierarchy>
    <cacheHierarchy uniqueName="[Measures].[Max Opening Price]" caption="Max Opening Price" measure="1" displayFolder="" measureGroup="Table7" count="0"/>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ies>
  <kpis count="0"/>
  <dimensions count="4">
    <dimension measure="1" name="Measures" uniqueName="[Measures]" caption="Measures"/>
    <dimension name="Table11" uniqueName="[Table11]" caption="Table11"/>
    <dimension name="Table3" uniqueName="[Table3]" caption="Table3"/>
    <dimension name="Table7" uniqueName="[Table7]" caption="Table7"/>
  </dimensions>
  <measureGroups count="3">
    <measureGroup name="Table11" caption="Table11"/>
    <measureGroup name="Table3" caption="Table3"/>
    <measureGroup name="Table7" caption="Table7"/>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2.942320138885" backgroundQuery="1" createdVersion="8" refreshedVersion="8" minRefreshableVersion="3" recordCount="0" supportSubquery="1" supportAdvancedDrill="1" xr:uid="{5975E1A5-55E1-431F-9B52-DB26EF9DD6CE}">
  <cacheSource type="external" connectionId="1"/>
  <cacheFields count="2">
    <cacheField name="[Measures].[Sum of fees]" caption="Sum of fees" numFmtId="0" hierarchy="38" level="32767"/>
    <cacheField name="[Table3].[company_name].[company_name]" caption="company_name" numFmtId="0" hierarchy="15" level="1">
      <sharedItems count="8">
        <s v="Amazon"/>
        <s v="Apple"/>
        <s v="HDFC Bank"/>
        <s v="Infosys"/>
        <s v="Microsoft"/>
        <s v="Pfizer"/>
        <s v="Reliance"/>
        <s v="TCS"/>
      </sharedItems>
    </cacheField>
  </cacheFields>
  <cacheHierarchies count="45">
    <cacheHierarchy uniqueName="[Table11].[trade_id]" caption="trade_id" attribute="1" defaultMemberUniqueName="[Table11].[trade_id].[All]" allUniqueName="[Table11].[trade_id].[All]" dimensionUniqueName="[Table11]" displayFolder="" count="0" memberValueDatatype="130" unbalanced="0"/>
    <cacheHierarchy uniqueName="[Table11].[order_id]" caption="order_id" attribute="1" defaultMemberUniqueName="[Table11].[order_id].[All]" allUniqueName="[Table11].[order_id].[All]" dimensionUniqueName="[Table11]" displayFolder="" count="0" memberValueDatatype="130" unbalanced="0"/>
    <cacheHierarchy uniqueName="[Table11].[trade_ts]" caption="trade_ts" attribute="1" time="1" defaultMemberUniqueName="[Table11].[trade_ts].[All]" allUniqueName="[Table11].[trade_ts].[All]" dimensionUniqueName="[Table11]" displayFolder="" count="0" memberValueDatatype="7" unbalanced="0"/>
    <cacheHierarchy uniqueName="[Table11].[company_id]" caption="company_id" attribute="1" defaultMemberUniqueName="[Table11].[company_id].[All]" allUniqueName="[Table11].[company_id].[All]" dimensionUniqueName="[Table11]" displayFolder="" count="0" memberValueDatatype="130" unbalanced="0"/>
    <cacheHierarchy uniqueName="[Table11].[side]" caption="side" attribute="1" defaultMemberUniqueName="[Table11].[side].[All]" allUniqueName="[Table11].[side].[All]" dimensionUniqueName="[Table11]" displayFolder="" count="0" memberValueDatatype="130" unbalanced="0"/>
    <cacheHierarchy uniqueName="[Table11].[quantity]" caption="quantity" attribute="1" defaultMemberUniqueName="[Table11].[quantity].[All]" allUniqueName="[Table11].[quantity].[All]" dimensionUniqueName="[Table11]" displayFolder="" count="0" memberValueDatatype="20" unbalanced="0"/>
    <cacheHierarchy uniqueName="[Table11].[price]" caption="price" attribute="1" defaultMemberUniqueName="[Table11].[price].[All]" allUniqueName="[Table11].[price].[All]" dimensionUniqueName="[Table11]" displayFolder="" count="0" memberValueDatatype="5" unbalanced="0"/>
    <cacheHierarchy uniqueName="[Table11].[fees]" caption="fees" attribute="1" defaultMemberUniqueName="[Table11].[fees].[All]" allUniqueName="[Table11].[fees].[All]" dimensionUniqueName="[Table11]" displayFolder="" count="0" memberValueDatatype="5" unbalanced="0"/>
    <cacheHierarchy uniqueName="[Table11].[trader_id]" caption="trader_id" attribute="1" defaultMemberUniqueName="[Table11].[trader_id].[All]" allUniqueName="[Table11].[trader_id].[All]" dimensionUniqueName="[Table11]" displayFolder="" count="2" memberValueDatatype="130" unbalanced="0"/>
    <cacheHierarchy uniqueName="[Table11].[portfolio_id]" caption="portfolio_id" attribute="1" defaultMemberUniqueName="[Table11].[portfolio_id].[All]" allUniqueName="[Table11].[portfolio_id].[All]" dimensionUniqueName="[Table11]" displayFolder="" count="0" memberValueDatatype="130" unbalanced="0"/>
    <cacheHierarchy uniqueName="[Table11].[exchange_id]" caption="exchange_id" attribute="1" defaultMemberUniqueName="[Table11].[exchange_id].[All]" allUniqueName="[Table11].[exchange_id].[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Avg Trade Value]" caption="Avg Trade Value" attribute="1" defaultMemberUniqueName="[Table11].[Avg Trade Value].[All]" allUniqueName="[Table11].[Avg Trade Value].[All]" dimensionUniqueName="[Table11]" displayFolder="" count="0" memberValueDatatype="5" unbalanced="0"/>
    <cacheHierarchy uniqueName="[Table3].[company_id]" caption="company_id" attribute="1" defaultMemberUniqueName="[Table3].[company_id].[All]" allUniqueName="[Table3].[company_id].[All]" dimensionUniqueName="[Table3]" displayFolder="" count="0" memberValueDatatype="130" unbalanced="0"/>
    <cacheHierarchy uniqueName="[Table3].[ticker]" caption="ticker" attribute="1" defaultMemberUniqueName="[Table3].[ticker].[All]" allUniqueName="[Table3].[ticker].[All]" dimensionUniqueName="[Table3]" displayFolder="" count="0" memberValueDatatype="130" unbalanced="0"/>
    <cacheHierarchy uniqueName="[Table3].[company_name]" caption="company_name" attribute="1" defaultMemberUniqueName="[Table3].[company_name].[All]" allUniqueName="[Table3].[company_name].[All]" dimensionUniqueName="[Table3]" displayFolder="" count="2" memberValueDatatype="130" unbalanced="0">
      <fieldsUsage count="2">
        <fieldUsage x="-1"/>
        <fieldUsage x="1"/>
      </fieldsUsage>
    </cacheHierarchy>
    <cacheHierarchy uniqueName="[Table3].[sector_id]" caption="sector_id" attribute="1" defaultMemberUniqueName="[Table3].[sector_id].[All]" allUniqueName="[Table3].[sector_id].[All]" dimensionUniqueName="[Table3]" displayFolder="" count="0" memberValueDatatype="130" unbalanced="0"/>
    <cacheHierarchy uniqueName="[Table3].[exchange_id]" caption="exchange_id" attribute="1" defaultMemberUniqueName="[Table3].[exchange_id].[All]" allUniqueName="[Table3].[exchange_id].[All]" dimensionUniqueName="[Table3]"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company_id]" caption="company_id" attribute="1" defaultMemberUniqueName="[Table7].[company_id].[All]" allUniqueName="[Table7].[company_id].[All]" dimensionUniqueName="[Table7]" displayFolder="" count="0" memberValueDatatype="130" unbalanced="0"/>
    <cacheHierarchy uniqueName="[Table7].[open]" caption="open" attribute="1" defaultMemberUniqueName="[Table7].[open].[All]" allUniqueName="[Table7].[open].[All]" dimensionUniqueName="[Table7]" displayFolder="" count="0" memberValueDatatype="5" unbalanced="0"/>
    <cacheHierarchy uniqueName="[Table7].[high]" caption="high" attribute="1" defaultMemberUniqueName="[Table7].[high].[All]" allUniqueName="[Table7].[high].[All]" dimensionUniqueName="[Table7]" displayFolder="" count="0" memberValueDatatype="5" unbalanced="0"/>
    <cacheHierarchy uniqueName="[Table7].[low]" caption="low" attribute="1" defaultMemberUniqueName="[Table7].[low].[All]" allUniqueName="[Table7].[low].[All]" dimensionUniqueName="[Table7]" displayFolder="" count="0" memberValueDatatype="5" unbalanced="0"/>
    <cacheHierarchy uniqueName="[Table7].[close]" caption="close" attribute="1" defaultMemberUniqueName="[Table7].[close].[All]" allUniqueName="[Table7].[close].[All]" dimensionUniqueName="[Table7]" displayFolder="" count="0" memberValueDatatype="5" unbalanced="0"/>
    <cacheHierarchy uniqueName="[Table7].[volume]" caption="volume" attribute="1" defaultMemberUniqueName="[Table7].[volume].[All]" allUniqueName="[Table7].[volume].[All]" dimensionUniqueName="[Table7]" displayFolder="" count="0" memberValueDatatype="20" unbalanced="0"/>
    <cacheHierarchy uniqueName="[Table7].[Daily Return]" caption="Daily Return" attribute="1" defaultMemberUniqueName="[Table7].[Daily Return].[All]" allUniqueName="[Table7].[Daily Return].[All]" dimensionUniqueName="[Table7]" displayFolder="" count="0" memberValueDatatype="5" unbalanced="0"/>
    <cacheHierarchy uniqueName="[Measures].[Sum of volume]" caption="Sum of volume" measure="1" displayFolder="" measureGroup="Table7" count="0">
      <extLst>
        <ext xmlns:x15="http://schemas.microsoft.com/office/spreadsheetml/2010/11/main" uri="{B97F6D7D-B522-45F9-BDA1-12C45D357490}">
          <x15:cacheHierarchy aggregatedColumn="24"/>
        </ext>
      </extLst>
    </cacheHierarchy>
    <cacheHierarchy uniqueName="[Measures].[Average of volume]" caption="Average of volume" measure="1" displayFolder="" measureGroup="Table7" count="0">
      <extLst>
        <ext xmlns:x15="http://schemas.microsoft.com/office/spreadsheetml/2010/11/main" uri="{B97F6D7D-B522-45F9-BDA1-12C45D357490}">
          <x15:cacheHierarchy aggregatedColumn="24"/>
        </ext>
      </extLst>
    </cacheHierarchy>
    <cacheHierarchy uniqueName="[Measures].[Sum of high]" caption="Sum of high" measure="1" displayFolder="" measureGroup="Table7" count="0">
      <extLst>
        <ext xmlns:x15="http://schemas.microsoft.com/office/spreadsheetml/2010/11/main" uri="{B97F6D7D-B522-45F9-BDA1-12C45D357490}">
          <x15:cacheHierarchy aggregatedColumn="21"/>
        </ext>
      </extLst>
    </cacheHierarchy>
    <cacheHierarchy uniqueName="[Measures].[Sum of low]" caption="Sum of low" measure="1" displayFolder="" measureGroup="Table7" count="0">
      <extLst>
        <ext xmlns:x15="http://schemas.microsoft.com/office/spreadsheetml/2010/11/main" uri="{B97F6D7D-B522-45F9-BDA1-12C45D357490}">
          <x15:cacheHierarchy aggregatedColumn="22"/>
        </ext>
      </extLst>
    </cacheHierarchy>
    <cacheHierarchy uniqueName="[Measures].[Max of high]" caption="Max of high" measure="1" displayFolder="" measureGroup="Table7" count="0">
      <extLst>
        <ext xmlns:x15="http://schemas.microsoft.com/office/spreadsheetml/2010/11/main" uri="{B97F6D7D-B522-45F9-BDA1-12C45D357490}">
          <x15:cacheHierarchy aggregatedColumn="21"/>
        </ext>
      </extLst>
    </cacheHierarchy>
    <cacheHierarchy uniqueName="[Measures].[Min of low]" caption="Min of low" measure="1" displayFolder="" measureGroup="Table7" count="0">
      <extLst>
        <ext xmlns:x15="http://schemas.microsoft.com/office/spreadsheetml/2010/11/main" uri="{B97F6D7D-B522-45F9-BDA1-12C45D357490}">
          <x15:cacheHierarchy aggregatedColumn="22"/>
        </ext>
      </extLst>
    </cacheHierarchy>
    <cacheHierarchy uniqueName="[Measures].[Sum of Avg Trade Value]" caption="Sum of Avg Trade Value" measure="1" displayFolder="" measureGroup="Table11" count="0">
      <extLst>
        <ext xmlns:x15="http://schemas.microsoft.com/office/spreadsheetml/2010/11/main" uri="{B97F6D7D-B522-45F9-BDA1-12C45D357490}">
          <x15:cacheHierarchy aggregatedColumn="12"/>
        </ext>
      </extLst>
    </cacheHierarchy>
    <cacheHierarchy uniqueName="[Measures].[Max of Avg Trade Value]" caption="Max of Avg Trade Value" measure="1" displayFolder="" measureGroup="Table11" count="0">
      <extLst>
        <ext xmlns:x15="http://schemas.microsoft.com/office/spreadsheetml/2010/11/main" uri="{B97F6D7D-B522-45F9-BDA1-12C45D357490}">
          <x15:cacheHierarchy aggregatedColumn="12"/>
        </ext>
      </extLst>
    </cacheHierarchy>
    <cacheHierarchy uniqueName="[Measures].[Count of side]" caption="Count of side" measure="1" displayFolder="" measureGroup="Table11"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11" count="0">
      <extLst>
        <ext xmlns:x15="http://schemas.microsoft.com/office/spreadsheetml/2010/11/main" uri="{B97F6D7D-B522-45F9-BDA1-12C45D357490}">
          <x15:cacheHierarchy aggregatedColumn="5"/>
        </ext>
      </extLst>
    </cacheHierarchy>
    <cacheHierarchy uniqueName="[Measures].[Sum of Daily Return]" caption="Sum of Daily Return" measure="1" displayFolder="" measureGroup="Table7" count="0">
      <extLst>
        <ext xmlns:x15="http://schemas.microsoft.com/office/spreadsheetml/2010/11/main" uri="{B97F6D7D-B522-45F9-BDA1-12C45D357490}">
          <x15:cacheHierarchy aggregatedColumn="25"/>
        </ext>
      </extLst>
    </cacheHierarchy>
    <cacheHierarchy uniqueName="[Measures].[Average of Daily Return]" caption="Average of Daily Return" measure="1" displayFolder="" measureGroup="Table7" count="0">
      <extLst>
        <ext xmlns:x15="http://schemas.microsoft.com/office/spreadsheetml/2010/11/main" uri="{B97F6D7D-B522-45F9-BDA1-12C45D357490}">
          <x15:cacheHierarchy aggregatedColumn="25"/>
        </ext>
      </extLst>
    </cacheHierarchy>
    <cacheHierarchy uniqueName="[Measures].[Sum of fees]" caption="Sum of fees" measure="1" displayFolder="" measureGroup="Table11" count="0" oneField="1">
      <fieldsUsage count="1">
        <fieldUsage x="0"/>
      </fieldsUsage>
      <extLst>
        <ext xmlns:x15="http://schemas.microsoft.com/office/spreadsheetml/2010/11/main" uri="{B97F6D7D-B522-45F9-BDA1-12C45D357490}">
          <x15:cacheHierarchy aggregatedColumn="7"/>
        </ext>
      </extLst>
    </cacheHierarchy>
    <cacheHierarchy uniqueName="[Measures].[Average of Avg Trade Value]" caption="Average of Avg Trade Value" measure="1" displayFolder="" measureGroup="Table11" count="0">
      <extLst>
        <ext xmlns:x15="http://schemas.microsoft.com/office/spreadsheetml/2010/11/main" uri="{B97F6D7D-B522-45F9-BDA1-12C45D357490}">
          <x15:cacheHierarchy aggregatedColumn="12"/>
        </ext>
      </extLst>
    </cacheHierarchy>
    <cacheHierarchy uniqueName="[Measures].[Max Opening Price]" caption="Max Opening Price" measure="1" displayFolder="" measureGroup="Table7" count="0"/>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ies>
  <kpis count="0"/>
  <dimensions count="4">
    <dimension measure="1" name="Measures" uniqueName="[Measures]" caption="Measures"/>
    <dimension name="Table11" uniqueName="[Table11]" caption="Table11"/>
    <dimension name="Table3" uniqueName="[Table3]" caption="Table3"/>
    <dimension name="Table7" uniqueName="[Table7]" caption="Table7"/>
  </dimensions>
  <measureGroups count="3">
    <measureGroup name="Table11" caption="Table11"/>
    <measureGroup name="Table3" caption="Table3"/>
    <measureGroup name="Table7" caption="Table7"/>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2.942320949071" backgroundQuery="1" createdVersion="8" refreshedVersion="8" minRefreshableVersion="3" recordCount="0" supportSubquery="1" supportAdvancedDrill="1" xr:uid="{E0716202-D23C-44E1-90B3-20683740F649}">
  <cacheSource type="external" connectionId="1"/>
  <cacheFields count="2">
    <cacheField name="[Table3].[company_name].[company_name]" caption="company_name" numFmtId="0" hierarchy="15" level="1">
      <sharedItems count="8">
        <s v="Amazon"/>
        <s v="Apple"/>
        <s v="HDFC Bank"/>
        <s v="Infosys"/>
        <s v="Microsoft"/>
        <s v="Pfizer"/>
        <s v="Reliance"/>
        <s v="TCS"/>
      </sharedItems>
    </cacheField>
    <cacheField name="[Measures].[Average of Daily Return]" caption="Average of Daily Return" numFmtId="0" hierarchy="37" level="32767"/>
  </cacheFields>
  <cacheHierarchies count="45">
    <cacheHierarchy uniqueName="[Table11].[trade_id]" caption="trade_id" attribute="1" defaultMemberUniqueName="[Table11].[trade_id].[All]" allUniqueName="[Table11].[trade_id].[All]" dimensionUniqueName="[Table11]" displayFolder="" count="0" memberValueDatatype="130" unbalanced="0"/>
    <cacheHierarchy uniqueName="[Table11].[order_id]" caption="order_id" attribute="1" defaultMemberUniqueName="[Table11].[order_id].[All]" allUniqueName="[Table11].[order_id].[All]" dimensionUniqueName="[Table11]" displayFolder="" count="0" memberValueDatatype="130" unbalanced="0"/>
    <cacheHierarchy uniqueName="[Table11].[trade_ts]" caption="trade_ts" attribute="1" time="1" defaultMemberUniqueName="[Table11].[trade_ts].[All]" allUniqueName="[Table11].[trade_ts].[All]" dimensionUniqueName="[Table11]" displayFolder="" count="0" memberValueDatatype="7" unbalanced="0"/>
    <cacheHierarchy uniqueName="[Table11].[company_id]" caption="company_id" attribute="1" defaultMemberUniqueName="[Table11].[company_id].[All]" allUniqueName="[Table11].[company_id].[All]" dimensionUniqueName="[Table11]" displayFolder="" count="0" memberValueDatatype="130" unbalanced="0"/>
    <cacheHierarchy uniqueName="[Table11].[side]" caption="side" attribute="1" defaultMemberUniqueName="[Table11].[side].[All]" allUniqueName="[Table11].[side].[All]" dimensionUniqueName="[Table11]" displayFolder="" count="0" memberValueDatatype="130" unbalanced="0"/>
    <cacheHierarchy uniqueName="[Table11].[quantity]" caption="quantity" attribute="1" defaultMemberUniqueName="[Table11].[quantity].[All]" allUniqueName="[Table11].[quantity].[All]" dimensionUniqueName="[Table11]" displayFolder="" count="0" memberValueDatatype="20" unbalanced="0"/>
    <cacheHierarchy uniqueName="[Table11].[price]" caption="price" attribute="1" defaultMemberUniqueName="[Table11].[price].[All]" allUniqueName="[Table11].[price].[All]" dimensionUniqueName="[Table11]" displayFolder="" count="0" memberValueDatatype="5" unbalanced="0"/>
    <cacheHierarchy uniqueName="[Table11].[fees]" caption="fees" attribute="1" defaultMemberUniqueName="[Table11].[fees].[All]" allUniqueName="[Table11].[fees].[All]" dimensionUniqueName="[Table11]" displayFolder="" count="0" memberValueDatatype="5" unbalanced="0"/>
    <cacheHierarchy uniqueName="[Table11].[trader_id]" caption="trader_id" attribute="1" defaultMemberUniqueName="[Table11].[trader_id].[All]" allUniqueName="[Table11].[trader_id].[All]" dimensionUniqueName="[Table11]" displayFolder="" count="2" memberValueDatatype="130" unbalanced="0"/>
    <cacheHierarchy uniqueName="[Table11].[portfolio_id]" caption="portfolio_id" attribute="1" defaultMemberUniqueName="[Table11].[portfolio_id].[All]" allUniqueName="[Table11].[portfolio_id].[All]" dimensionUniqueName="[Table11]" displayFolder="" count="0" memberValueDatatype="130" unbalanced="0"/>
    <cacheHierarchy uniqueName="[Table11].[exchange_id]" caption="exchange_id" attribute="1" defaultMemberUniqueName="[Table11].[exchange_id].[All]" allUniqueName="[Table11].[exchange_id].[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Avg Trade Value]" caption="Avg Trade Value" attribute="1" defaultMemberUniqueName="[Table11].[Avg Trade Value].[All]" allUniqueName="[Table11].[Avg Trade Value].[All]" dimensionUniqueName="[Table11]" displayFolder="" count="0" memberValueDatatype="5" unbalanced="0"/>
    <cacheHierarchy uniqueName="[Table3].[company_id]" caption="company_id" attribute="1" defaultMemberUniqueName="[Table3].[company_id].[All]" allUniqueName="[Table3].[company_id].[All]" dimensionUniqueName="[Table3]" displayFolder="" count="0" memberValueDatatype="130" unbalanced="0"/>
    <cacheHierarchy uniqueName="[Table3].[ticker]" caption="ticker" attribute="1" defaultMemberUniqueName="[Table3].[ticker].[All]" allUniqueName="[Table3].[ticker].[All]" dimensionUniqueName="[Table3]" displayFolder="" count="0" memberValueDatatype="130" unbalanced="0"/>
    <cacheHierarchy uniqueName="[Table3].[company_name]" caption="company_name" attribute="1" defaultMemberUniqueName="[Table3].[company_name].[All]" allUniqueName="[Table3].[company_name].[All]" dimensionUniqueName="[Table3]" displayFolder="" count="2" memberValueDatatype="130" unbalanced="0">
      <fieldsUsage count="2">
        <fieldUsage x="-1"/>
        <fieldUsage x="0"/>
      </fieldsUsage>
    </cacheHierarchy>
    <cacheHierarchy uniqueName="[Table3].[sector_id]" caption="sector_id" attribute="1" defaultMemberUniqueName="[Table3].[sector_id].[All]" allUniqueName="[Table3].[sector_id].[All]" dimensionUniqueName="[Table3]" displayFolder="" count="0" memberValueDatatype="130" unbalanced="0"/>
    <cacheHierarchy uniqueName="[Table3].[exchange_id]" caption="exchange_id" attribute="1" defaultMemberUniqueName="[Table3].[exchange_id].[All]" allUniqueName="[Table3].[exchange_id].[All]" dimensionUniqueName="[Table3]"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company_id]" caption="company_id" attribute="1" defaultMemberUniqueName="[Table7].[company_id].[All]" allUniqueName="[Table7].[company_id].[All]" dimensionUniqueName="[Table7]" displayFolder="" count="0" memberValueDatatype="130" unbalanced="0"/>
    <cacheHierarchy uniqueName="[Table7].[open]" caption="open" attribute="1" defaultMemberUniqueName="[Table7].[open].[All]" allUniqueName="[Table7].[open].[All]" dimensionUniqueName="[Table7]" displayFolder="" count="0" memberValueDatatype="5" unbalanced="0"/>
    <cacheHierarchy uniqueName="[Table7].[high]" caption="high" attribute="1" defaultMemberUniqueName="[Table7].[high].[All]" allUniqueName="[Table7].[high].[All]" dimensionUniqueName="[Table7]" displayFolder="" count="0" memberValueDatatype="5" unbalanced="0"/>
    <cacheHierarchy uniqueName="[Table7].[low]" caption="low" attribute="1" defaultMemberUniqueName="[Table7].[low].[All]" allUniqueName="[Table7].[low].[All]" dimensionUniqueName="[Table7]" displayFolder="" count="0" memberValueDatatype="5" unbalanced="0"/>
    <cacheHierarchy uniqueName="[Table7].[close]" caption="close" attribute="1" defaultMemberUniqueName="[Table7].[close].[All]" allUniqueName="[Table7].[close].[All]" dimensionUniqueName="[Table7]" displayFolder="" count="0" memberValueDatatype="5" unbalanced="0"/>
    <cacheHierarchy uniqueName="[Table7].[volume]" caption="volume" attribute="1" defaultMemberUniqueName="[Table7].[volume].[All]" allUniqueName="[Table7].[volume].[All]" dimensionUniqueName="[Table7]" displayFolder="" count="0" memberValueDatatype="20" unbalanced="0"/>
    <cacheHierarchy uniqueName="[Table7].[Daily Return]" caption="Daily Return" attribute="1" defaultMemberUniqueName="[Table7].[Daily Return].[All]" allUniqueName="[Table7].[Daily Return].[All]" dimensionUniqueName="[Table7]" displayFolder="" count="0" memberValueDatatype="5" unbalanced="0"/>
    <cacheHierarchy uniqueName="[Measures].[Sum of volume]" caption="Sum of volume" measure="1" displayFolder="" measureGroup="Table7" count="0">
      <extLst>
        <ext xmlns:x15="http://schemas.microsoft.com/office/spreadsheetml/2010/11/main" uri="{B97F6D7D-B522-45F9-BDA1-12C45D357490}">
          <x15:cacheHierarchy aggregatedColumn="24"/>
        </ext>
      </extLst>
    </cacheHierarchy>
    <cacheHierarchy uniqueName="[Measures].[Average of volume]" caption="Average of volume" measure="1" displayFolder="" measureGroup="Table7" count="0">
      <extLst>
        <ext xmlns:x15="http://schemas.microsoft.com/office/spreadsheetml/2010/11/main" uri="{B97F6D7D-B522-45F9-BDA1-12C45D357490}">
          <x15:cacheHierarchy aggregatedColumn="24"/>
        </ext>
      </extLst>
    </cacheHierarchy>
    <cacheHierarchy uniqueName="[Measures].[Sum of high]" caption="Sum of high" measure="1" displayFolder="" measureGroup="Table7" count="0">
      <extLst>
        <ext xmlns:x15="http://schemas.microsoft.com/office/spreadsheetml/2010/11/main" uri="{B97F6D7D-B522-45F9-BDA1-12C45D357490}">
          <x15:cacheHierarchy aggregatedColumn="21"/>
        </ext>
      </extLst>
    </cacheHierarchy>
    <cacheHierarchy uniqueName="[Measures].[Sum of low]" caption="Sum of low" measure="1" displayFolder="" measureGroup="Table7" count="0">
      <extLst>
        <ext xmlns:x15="http://schemas.microsoft.com/office/spreadsheetml/2010/11/main" uri="{B97F6D7D-B522-45F9-BDA1-12C45D357490}">
          <x15:cacheHierarchy aggregatedColumn="22"/>
        </ext>
      </extLst>
    </cacheHierarchy>
    <cacheHierarchy uniqueName="[Measures].[Max of high]" caption="Max of high" measure="1" displayFolder="" measureGroup="Table7" count="0">
      <extLst>
        <ext xmlns:x15="http://schemas.microsoft.com/office/spreadsheetml/2010/11/main" uri="{B97F6D7D-B522-45F9-BDA1-12C45D357490}">
          <x15:cacheHierarchy aggregatedColumn="21"/>
        </ext>
      </extLst>
    </cacheHierarchy>
    <cacheHierarchy uniqueName="[Measures].[Min of low]" caption="Min of low" measure="1" displayFolder="" measureGroup="Table7" count="0">
      <extLst>
        <ext xmlns:x15="http://schemas.microsoft.com/office/spreadsheetml/2010/11/main" uri="{B97F6D7D-B522-45F9-BDA1-12C45D357490}">
          <x15:cacheHierarchy aggregatedColumn="22"/>
        </ext>
      </extLst>
    </cacheHierarchy>
    <cacheHierarchy uniqueName="[Measures].[Sum of Avg Trade Value]" caption="Sum of Avg Trade Value" measure="1" displayFolder="" measureGroup="Table11" count="0">
      <extLst>
        <ext xmlns:x15="http://schemas.microsoft.com/office/spreadsheetml/2010/11/main" uri="{B97F6D7D-B522-45F9-BDA1-12C45D357490}">
          <x15:cacheHierarchy aggregatedColumn="12"/>
        </ext>
      </extLst>
    </cacheHierarchy>
    <cacheHierarchy uniqueName="[Measures].[Max of Avg Trade Value]" caption="Max of Avg Trade Value" measure="1" displayFolder="" measureGroup="Table11" count="0">
      <extLst>
        <ext xmlns:x15="http://schemas.microsoft.com/office/spreadsheetml/2010/11/main" uri="{B97F6D7D-B522-45F9-BDA1-12C45D357490}">
          <x15:cacheHierarchy aggregatedColumn="12"/>
        </ext>
      </extLst>
    </cacheHierarchy>
    <cacheHierarchy uniqueName="[Measures].[Count of side]" caption="Count of side" measure="1" displayFolder="" measureGroup="Table11"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11" count="0">
      <extLst>
        <ext xmlns:x15="http://schemas.microsoft.com/office/spreadsheetml/2010/11/main" uri="{B97F6D7D-B522-45F9-BDA1-12C45D357490}">
          <x15:cacheHierarchy aggregatedColumn="5"/>
        </ext>
      </extLst>
    </cacheHierarchy>
    <cacheHierarchy uniqueName="[Measures].[Sum of Daily Return]" caption="Sum of Daily Return" measure="1" displayFolder="" measureGroup="Table7" count="0">
      <extLst>
        <ext xmlns:x15="http://schemas.microsoft.com/office/spreadsheetml/2010/11/main" uri="{B97F6D7D-B522-45F9-BDA1-12C45D357490}">
          <x15:cacheHierarchy aggregatedColumn="25"/>
        </ext>
      </extLst>
    </cacheHierarchy>
    <cacheHierarchy uniqueName="[Measures].[Average of Daily Return]" caption="Average of Daily Return" measure="1" displayFolder="" measureGroup="Table7" count="0" oneField="1">
      <fieldsUsage count="1">
        <fieldUsage x="1"/>
      </fieldsUsage>
      <extLst>
        <ext xmlns:x15="http://schemas.microsoft.com/office/spreadsheetml/2010/11/main" uri="{B97F6D7D-B522-45F9-BDA1-12C45D357490}">
          <x15:cacheHierarchy aggregatedColumn="25"/>
        </ext>
      </extLst>
    </cacheHierarchy>
    <cacheHierarchy uniqueName="[Measures].[Sum of fees]" caption="Sum of fees" measure="1" displayFolder="" measureGroup="Table11" count="0">
      <extLst>
        <ext xmlns:x15="http://schemas.microsoft.com/office/spreadsheetml/2010/11/main" uri="{B97F6D7D-B522-45F9-BDA1-12C45D357490}">
          <x15:cacheHierarchy aggregatedColumn="7"/>
        </ext>
      </extLst>
    </cacheHierarchy>
    <cacheHierarchy uniqueName="[Measures].[Average of Avg Trade Value]" caption="Average of Avg Trade Value" measure="1" displayFolder="" measureGroup="Table11" count="0">
      <extLst>
        <ext xmlns:x15="http://schemas.microsoft.com/office/spreadsheetml/2010/11/main" uri="{B97F6D7D-B522-45F9-BDA1-12C45D357490}">
          <x15:cacheHierarchy aggregatedColumn="12"/>
        </ext>
      </extLst>
    </cacheHierarchy>
    <cacheHierarchy uniqueName="[Measures].[Max Opening Price]" caption="Max Opening Price" measure="1" displayFolder="" measureGroup="Table7" count="0"/>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ies>
  <kpis count="0"/>
  <dimensions count="4">
    <dimension measure="1" name="Measures" uniqueName="[Measures]" caption="Measures"/>
    <dimension name="Table11" uniqueName="[Table11]" caption="Table11"/>
    <dimension name="Table3" uniqueName="[Table3]" caption="Table3"/>
    <dimension name="Table7" uniqueName="[Table7]" caption="Table7"/>
  </dimensions>
  <measureGroups count="3">
    <measureGroup name="Table11" caption="Table11"/>
    <measureGroup name="Table3" caption="Table3"/>
    <measureGroup name="Table7" caption="Table7"/>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2.942322106479" backgroundQuery="1" createdVersion="8" refreshedVersion="8" minRefreshableVersion="3" recordCount="0" supportSubquery="1" supportAdvancedDrill="1" xr:uid="{28C03DFB-A976-4052-B193-84C5A61F0A47}">
  <cacheSource type="external" connectionId="1"/>
  <cacheFields count="3">
    <cacheField name="[Table3].[company_name].[company_name]" caption="company_name" numFmtId="0" hierarchy="15" level="1">
      <sharedItems count="8">
        <s v="Amazon"/>
        <s v="Apple"/>
        <s v="HDFC Bank"/>
        <s v="Infosys"/>
        <s v="Microsoft"/>
        <s v="Pfizer"/>
        <s v="Reliance"/>
        <s v="TCS"/>
      </sharedItems>
    </cacheField>
    <cacheField name="[Measures].[Max of high]" caption="Max of high" numFmtId="0" hierarchy="30" level="32767"/>
    <cacheField name="[Measures].[Min of low]" caption="Min of low" numFmtId="0" hierarchy="31" level="32767"/>
  </cacheFields>
  <cacheHierarchies count="45">
    <cacheHierarchy uniqueName="[Table11].[trade_id]" caption="trade_id" attribute="1" defaultMemberUniqueName="[Table11].[trade_id].[All]" allUniqueName="[Table11].[trade_id].[All]" dimensionUniqueName="[Table11]" displayFolder="" count="0" memberValueDatatype="130" unbalanced="0"/>
    <cacheHierarchy uniqueName="[Table11].[order_id]" caption="order_id" attribute="1" defaultMemberUniqueName="[Table11].[order_id].[All]" allUniqueName="[Table11].[order_id].[All]" dimensionUniqueName="[Table11]" displayFolder="" count="0" memberValueDatatype="130" unbalanced="0"/>
    <cacheHierarchy uniqueName="[Table11].[trade_ts]" caption="trade_ts" attribute="1" time="1" defaultMemberUniqueName="[Table11].[trade_ts].[All]" allUniqueName="[Table11].[trade_ts].[All]" dimensionUniqueName="[Table11]" displayFolder="" count="0" memberValueDatatype="7" unbalanced="0"/>
    <cacheHierarchy uniqueName="[Table11].[company_id]" caption="company_id" attribute="1" defaultMemberUniqueName="[Table11].[company_id].[All]" allUniqueName="[Table11].[company_id].[All]" dimensionUniqueName="[Table11]" displayFolder="" count="0" memberValueDatatype="130" unbalanced="0"/>
    <cacheHierarchy uniqueName="[Table11].[side]" caption="side" attribute="1" defaultMemberUniqueName="[Table11].[side].[All]" allUniqueName="[Table11].[side].[All]" dimensionUniqueName="[Table11]" displayFolder="" count="0" memberValueDatatype="130" unbalanced="0"/>
    <cacheHierarchy uniqueName="[Table11].[quantity]" caption="quantity" attribute="1" defaultMemberUniqueName="[Table11].[quantity].[All]" allUniqueName="[Table11].[quantity].[All]" dimensionUniqueName="[Table11]" displayFolder="" count="0" memberValueDatatype="20" unbalanced="0"/>
    <cacheHierarchy uniqueName="[Table11].[price]" caption="price" attribute="1" defaultMemberUniqueName="[Table11].[price].[All]" allUniqueName="[Table11].[price].[All]" dimensionUniqueName="[Table11]" displayFolder="" count="0" memberValueDatatype="5" unbalanced="0"/>
    <cacheHierarchy uniqueName="[Table11].[fees]" caption="fees" attribute="1" defaultMemberUniqueName="[Table11].[fees].[All]" allUniqueName="[Table11].[fees].[All]" dimensionUniqueName="[Table11]" displayFolder="" count="0" memberValueDatatype="5" unbalanced="0"/>
    <cacheHierarchy uniqueName="[Table11].[trader_id]" caption="trader_id" attribute="1" defaultMemberUniqueName="[Table11].[trader_id].[All]" allUniqueName="[Table11].[trader_id].[All]" dimensionUniqueName="[Table11]" displayFolder="" count="2" memberValueDatatype="130" unbalanced="0"/>
    <cacheHierarchy uniqueName="[Table11].[portfolio_id]" caption="portfolio_id" attribute="1" defaultMemberUniqueName="[Table11].[portfolio_id].[All]" allUniqueName="[Table11].[portfolio_id].[All]" dimensionUniqueName="[Table11]" displayFolder="" count="0" memberValueDatatype="130" unbalanced="0"/>
    <cacheHierarchy uniqueName="[Table11].[exchange_id]" caption="exchange_id" attribute="1" defaultMemberUniqueName="[Table11].[exchange_id].[All]" allUniqueName="[Table11].[exchange_id].[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Avg Trade Value]" caption="Avg Trade Value" attribute="1" defaultMemberUniqueName="[Table11].[Avg Trade Value].[All]" allUniqueName="[Table11].[Avg Trade Value].[All]" dimensionUniqueName="[Table11]" displayFolder="" count="0" memberValueDatatype="5" unbalanced="0"/>
    <cacheHierarchy uniqueName="[Table3].[company_id]" caption="company_id" attribute="1" defaultMemberUniqueName="[Table3].[company_id].[All]" allUniqueName="[Table3].[company_id].[All]" dimensionUniqueName="[Table3]" displayFolder="" count="0" memberValueDatatype="130" unbalanced="0"/>
    <cacheHierarchy uniqueName="[Table3].[ticker]" caption="ticker" attribute="1" defaultMemberUniqueName="[Table3].[ticker].[All]" allUniqueName="[Table3].[ticker].[All]" dimensionUniqueName="[Table3]" displayFolder="" count="0" memberValueDatatype="130" unbalanced="0"/>
    <cacheHierarchy uniqueName="[Table3].[company_name]" caption="company_name" attribute="1" defaultMemberUniqueName="[Table3].[company_name].[All]" allUniqueName="[Table3].[company_name].[All]" dimensionUniqueName="[Table3]" displayFolder="" count="2" memberValueDatatype="130" unbalanced="0">
      <fieldsUsage count="2">
        <fieldUsage x="-1"/>
        <fieldUsage x="0"/>
      </fieldsUsage>
    </cacheHierarchy>
    <cacheHierarchy uniqueName="[Table3].[sector_id]" caption="sector_id" attribute="1" defaultMemberUniqueName="[Table3].[sector_id].[All]" allUniqueName="[Table3].[sector_id].[All]" dimensionUniqueName="[Table3]" displayFolder="" count="0" memberValueDatatype="130" unbalanced="0"/>
    <cacheHierarchy uniqueName="[Table3].[exchange_id]" caption="exchange_id" attribute="1" defaultMemberUniqueName="[Table3].[exchange_id].[All]" allUniqueName="[Table3].[exchange_id].[All]" dimensionUniqueName="[Table3]"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company_id]" caption="company_id" attribute="1" defaultMemberUniqueName="[Table7].[company_id].[All]" allUniqueName="[Table7].[company_id].[All]" dimensionUniqueName="[Table7]" displayFolder="" count="0" memberValueDatatype="130" unbalanced="0"/>
    <cacheHierarchy uniqueName="[Table7].[open]" caption="open" attribute="1" defaultMemberUniqueName="[Table7].[open].[All]" allUniqueName="[Table7].[open].[All]" dimensionUniqueName="[Table7]" displayFolder="" count="0" memberValueDatatype="5" unbalanced="0"/>
    <cacheHierarchy uniqueName="[Table7].[high]" caption="high" attribute="1" defaultMemberUniqueName="[Table7].[high].[All]" allUniqueName="[Table7].[high].[All]" dimensionUniqueName="[Table7]" displayFolder="" count="0" memberValueDatatype="5" unbalanced="0"/>
    <cacheHierarchy uniqueName="[Table7].[low]" caption="low" attribute="1" defaultMemberUniqueName="[Table7].[low].[All]" allUniqueName="[Table7].[low].[All]" dimensionUniqueName="[Table7]" displayFolder="" count="0" memberValueDatatype="5" unbalanced="0"/>
    <cacheHierarchy uniqueName="[Table7].[close]" caption="close" attribute="1" defaultMemberUniqueName="[Table7].[close].[All]" allUniqueName="[Table7].[close].[All]" dimensionUniqueName="[Table7]" displayFolder="" count="0" memberValueDatatype="5" unbalanced="0"/>
    <cacheHierarchy uniqueName="[Table7].[volume]" caption="volume" attribute="1" defaultMemberUniqueName="[Table7].[volume].[All]" allUniqueName="[Table7].[volume].[All]" dimensionUniqueName="[Table7]" displayFolder="" count="0" memberValueDatatype="20" unbalanced="0"/>
    <cacheHierarchy uniqueName="[Table7].[Daily Return]" caption="Daily Return" attribute="1" defaultMemberUniqueName="[Table7].[Daily Return].[All]" allUniqueName="[Table7].[Daily Return].[All]" dimensionUniqueName="[Table7]" displayFolder="" count="0" memberValueDatatype="5" unbalanced="0"/>
    <cacheHierarchy uniqueName="[Measures].[Sum of volume]" caption="Sum of volume" measure="1" displayFolder="" measureGroup="Table7" count="0">
      <extLst>
        <ext xmlns:x15="http://schemas.microsoft.com/office/spreadsheetml/2010/11/main" uri="{B97F6D7D-B522-45F9-BDA1-12C45D357490}">
          <x15:cacheHierarchy aggregatedColumn="24"/>
        </ext>
      </extLst>
    </cacheHierarchy>
    <cacheHierarchy uniqueName="[Measures].[Average of volume]" caption="Average of volume" measure="1" displayFolder="" measureGroup="Table7" count="0">
      <extLst>
        <ext xmlns:x15="http://schemas.microsoft.com/office/spreadsheetml/2010/11/main" uri="{B97F6D7D-B522-45F9-BDA1-12C45D357490}">
          <x15:cacheHierarchy aggregatedColumn="24"/>
        </ext>
      </extLst>
    </cacheHierarchy>
    <cacheHierarchy uniqueName="[Measures].[Sum of high]" caption="Sum of high" measure="1" displayFolder="" measureGroup="Table7" count="0">
      <extLst>
        <ext xmlns:x15="http://schemas.microsoft.com/office/spreadsheetml/2010/11/main" uri="{B97F6D7D-B522-45F9-BDA1-12C45D357490}">
          <x15:cacheHierarchy aggregatedColumn="21"/>
        </ext>
      </extLst>
    </cacheHierarchy>
    <cacheHierarchy uniqueName="[Measures].[Sum of low]" caption="Sum of low" measure="1" displayFolder="" measureGroup="Table7" count="0">
      <extLst>
        <ext xmlns:x15="http://schemas.microsoft.com/office/spreadsheetml/2010/11/main" uri="{B97F6D7D-B522-45F9-BDA1-12C45D357490}">
          <x15:cacheHierarchy aggregatedColumn="22"/>
        </ext>
      </extLst>
    </cacheHierarchy>
    <cacheHierarchy uniqueName="[Measures].[Max of high]" caption="Max of high" measure="1" displayFolder="" measureGroup="Table7" count="0" oneField="1">
      <fieldsUsage count="1">
        <fieldUsage x="1"/>
      </fieldsUsage>
      <extLst>
        <ext xmlns:x15="http://schemas.microsoft.com/office/spreadsheetml/2010/11/main" uri="{B97F6D7D-B522-45F9-BDA1-12C45D357490}">
          <x15:cacheHierarchy aggregatedColumn="21"/>
        </ext>
      </extLst>
    </cacheHierarchy>
    <cacheHierarchy uniqueName="[Measures].[Min of low]" caption="Min of low" measure="1" displayFolder="" measureGroup="Table7" count="0" oneField="1">
      <fieldsUsage count="1">
        <fieldUsage x="2"/>
      </fieldsUsage>
      <extLst>
        <ext xmlns:x15="http://schemas.microsoft.com/office/spreadsheetml/2010/11/main" uri="{B97F6D7D-B522-45F9-BDA1-12C45D357490}">
          <x15:cacheHierarchy aggregatedColumn="22"/>
        </ext>
      </extLst>
    </cacheHierarchy>
    <cacheHierarchy uniqueName="[Measures].[Sum of Avg Trade Value]" caption="Sum of Avg Trade Value" measure="1" displayFolder="" measureGroup="Table11" count="0">
      <extLst>
        <ext xmlns:x15="http://schemas.microsoft.com/office/spreadsheetml/2010/11/main" uri="{B97F6D7D-B522-45F9-BDA1-12C45D357490}">
          <x15:cacheHierarchy aggregatedColumn="12"/>
        </ext>
      </extLst>
    </cacheHierarchy>
    <cacheHierarchy uniqueName="[Measures].[Max of Avg Trade Value]" caption="Max of Avg Trade Value" measure="1" displayFolder="" measureGroup="Table11" count="0">
      <extLst>
        <ext xmlns:x15="http://schemas.microsoft.com/office/spreadsheetml/2010/11/main" uri="{B97F6D7D-B522-45F9-BDA1-12C45D357490}">
          <x15:cacheHierarchy aggregatedColumn="12"/>
        </ext>
      </extLst>
    </cacheHierarchy>
    <cacheHierarchy uniqueName="[Measures].[Count of side]" caption="Count of side" measure="1" displayFolder="" measureGroup="Table11"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11" count="0">
      <extLst>
        <ext xmlns:x15="http://schemas.microsoft.com/office/spreadsheetml/2010/11/main" uri="{B97F6D7D-B522-45F9-BDA1-12C45D357490}">
          <x15:cacheHierarchy aggregatedColumn="5"/>
        </ext>
      </extLst>
    </cacheHierarchy>
    <cacheHierarchy uniqueName="[Measures].[Sum of Daily Return]" caption="Sum of Daily Return" measure="1" displayFolder="" measureGroup="Table7" count="0">
      <extLst>
        <ext xmlns:x15="http://schemas.microsoft.com/office/spreadsheetml/2010/11/main" uri="{B97F6D7D-B522-45F9-BDA1-12C45D357490}">
          <x15:cacheHierarchy aggregatedColumn="25"/>
        </ext>
      </extLst>
    </cacheHierarchy>
    <cacheHierarchy uniqueName="[Measures].[Average of Daily Return]" caption="Average of Daily Return" measure="1" displayFolder="" measureGroup="Table7" count="0">
      <extLst>
        <ext xmlns:x15="http://schemas.microsoft.com/office/spreadsheetml/2010/11/main" uri="{B97F6D7D-B522-45F9-BDA1-12C45D357490}">
          <x15:cacheHierarchy aggregatedColumn="25"/>
        </ext>
      </extLst>
    </cacheHierarchy>
    <cacheHierarchy uniqueName="[Measures].[Sum of fees]" caption="Sum of fees" measure="1" displayFolder="" measureGroup="Table11" count="0">
      <extLst>
        <ext xmlns:x15="http://schemas.microsoft.com/office/spreadsheetml/2010/11/main" uri="{B97F6D7D-B522-45F9-BDA1-12C45D357490}">
          <x15:cacheHierarchy aggregatedColumn="7"/>
        </ext>
      </extLst>
    </cacheHierarchy>
    <cacheHierarchy uniqueName="[Measures].[Average of Avg Trade Value]" caption="Average of Avg Trade Value" measure="1" displayFolder="" measureGroup="Table11" count="0">
      <extLst>
        <ext xmlns:x15="http://schemas.microsoft.com/office/spreadsheetml/2010/11/main" uri="{B97F6D7D-B522-45F9-BDA1-12C45D357490}">
          <x15:cacheHierarchy aggregatedColumn="12"/>
        </ext>
      </extLst>
    </cacheHierarchy>
    <cacheHierarchy uniqueName="[Measures].[Max Opening Price]" caption="Max Opening Price" measure="1" displayFolder="" measureGroup="Table7" count="0"/>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ies>
  <kpis count="0"/>
  <dimensions count="4">
    <dimension measure="1" name="Measures" uniqueName="[Measures]" caption="Measures"/>
    <dimension name="Table11" uniqueName="[Table11]" caption="Table11"/>
    <dimension name="Table3" uniqueName="[Table3]" caption="Table3"/>
    <dimension name="Table7" uniqueName="[Table7]" caption="Table7"/>
  </dimensions>
  <measureGroups count="3">
    <measureGroup name="Table11" caption="Table11"/>
    <measureGroup name="Table3" caption="Table3"/>
    <measureGroup name="Table7" caption="Table7"/>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2.942322916664" backgroundQuery="1" createdVersion="8" refreshedVersion="8" minRefreshableVersion="3" recordCount="0" supportSubquery="1" supportAdvancedDrill="1" xr:uid="{4A50382E-4B5E-4AB3-978E-82BBCFED3726}">
  <cacheSource type="external" connectionId="1"/>
  <cacheFields count="2">
    <cacheField name="[Table3].[company_name].[company_name]" caption="company_name" numFmtId="0" hierarchy="15" level="1">
      <sharedItems count="8">
        <s v="Amazon"/>
        <s v="Apple"/>
        <s v="HDFC Bank"/>
        <s v="Infosys"/>
        <s v="Microsoft"/>
        <s v="Pfizer"/>
        <s v="Reliance"/>
        <s v="TCS"/>
      </sharedItems>
    </cacheField>
    <cacheField name="[Measures].[Average of volume]" caption="Average of volume" numFmtId="0" hierarchy="27" level="32767"/>
  </cacheFields>
  <cacheHierarchies count="45">
    <cacheHierarchy uniqueName="[Table11].[trade_id]" caption="trade_id" attribute="1" defaultMemberUniqueName="[Table11].[trade_id].[All]" allUniqueName="[Table11].[trade_id].[All]" dimensionUniqueName="[Table11]" displayFolder="" count="0" memberValueDatatype="130" unbalanced="0"/>
    <cacheHierarchy uniqueName="[Table11].[order_id]" caption="order_id" attribute="1" defaultMemberUniqueName="[Table11].[order_id].[All]" allUniqueName="[Table11].[order_id].[All]" dimensionUniqueName="[Table11]" displayFolder="" count="0" memberValueDatatype="130" unbalanced="0"/>
    <cacheHierarchy uniqueName="[Table11].[trade_ts]" caption="trade_ts" attribute="1" time="1" defaultMemberUniqueName="[Table11].[trade_ts].[All]" allUniqueName="[Table11].[trade_ts].[All]" dimensionUniqueName="[Table11]" displayFolder="" count="0" memberValueDatatype="7" unbalanced="0"/>
    <cacheHierarchy uniqueName="[Table11].[company_id]" caption="company_id" attribute="1" defaultMemberUniqueName="[Table11].[company_id].[All]" allUniqueName="[Table11].[company_id].[All]" dimensionUniqueName="[Table11]" displayFolder="" count="0" memberValueDatatype="130" unbalanced="0"/>
    <cacheHierarchy uniqueName="[Table11].[side]" caption="side" attribute="1" defaultMemberUniqueName="[Table11].[side].[All]" allUniqueName="[Table11].[side].[All]" dimensionUniqueName="[Table11]" displayFolder="" count="0" memberValueDatatype="130" unbalanced="0"/>
    <cacheHierarchy uniqueName="[Table11].[quantity]" caption="quantity" attribute="1" defaultMemberUniqueName="[Table11].[quantity].[All]" allUniqueName="[Table11].[quantity].[All]" dimensionUniqueName="[Table11]" displayFolder="" count="0" memberValueDatatype="20" unbalanced="0"/>
    <cacheHierarchy uniqueName="[Table11].[price]" caption="price" attribute="1" defaultMemberUniqueName="[Table11].[price].[All]" allUniqueName="[Table11].[price].[All]" dimensionUniqueName="[Table11]" displayFolder="" count="0" memberValueDatatype="5" unbalanced="0"/>
    <cacheHierarchy uniqueName="[Table11].[fees]" caption="fees" attribute="1" defaultMemberUniqueName="[Table11].[fees].[All]" allUniqueName="[Table11].[fees].[All]" dimensionUniqueName="[Table11]" displayFolder="" count="0" memberValueDatatype="5" unbalanced="0"/>
    <cacheHierarchy uniqueName="[Table11].[trader_id]" caption="trader_id" attribute="1" defaultMemberUniqueName="[Table11].[trader_id].[All]" allUniqueName="[Table11].[trader_id].[All]" dimensionUniqueName="[Table11]" displayFolder="" count="2" memberValueDatatype="130" unbalanced="0"/>
    <cacheHierarchy uniqueName="[Table11].[portfolio_id]" caption="portfolio_id" attribute="1" defaultMemberUniqueName="[Table11].[portfolio_id].[All]" allUniqueName="[Table11].[portfolio_id].[All]" dimensionUniqueName="[Table11]" displayFolder="" count="0" memberValueDatatype="130" unbalanced="0"/>
    <cacheHierarchy uniqueName="[Table11].[exchange_id]" caption="exchange_id" attribute="1" defaultMemberUniqueName="[Table11].[exchange_id].[All]" allUniqueName="[Table11].[exchange_id].[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Avg Trade Value]" caption="Avg Trade Value" attribute="1" defaultMemberUniqueName="[Table11].[Avg Trade Value].[All]" allUniqueName="[Table11].[Avg Trade Value].[All]" dimensionUniqueName="[Table11]" displayFolder="" count="0" memberValueDatatype="5" unbalanced="0"/>
    <cacheHierarchy uniqueName="[Table3].[company_id]" caption="company_id" attribute="1" defaultMemberUniqueName="[Table3].[company_id].[All]" allUniqueName="[Table3].[company_id].[All]" dimensionUniqueName="[Table3]" displayFolder="" count="0" memberValueDatatype="130" unbalanced="0"/>
    <cacheHierarchy uniqueName="[Table3].[ticker]" caption="ticker" attribute="1" defaultMemberUniqueName="[Table3].[ticker].[All]" allUniqueName="[Table3].[ticker].[All]" dimensionUniqueName="[Table3]" displayFolder="" count="0" memberValueDatatype="130" unbalanced="0"/>
    <cacheHierarchy uniqueName="[Table3].[company_name]" caption="company_name" attribute="1" defaultMemberUniqueName="[Table3].[company_name].[All]" allUniqueName="[Table3].[company_name].[All]" dimensionUniqueName="[Table3]" displayFolder="" count="2" memberValueDatatype="130" unbalanced="0">
      <fieldsUsage count="2">
        <fieldUsage x="-1"/>
        <fieldUsage x="0"/>
      </fieldsUsage>
    </cacheHierarchy>
    <cacheHierarchy uniqueName="[Table3].[sector_id]" caption="sector_id" attribute="1" defaultMemberUniqueName="[Table3].[sector_id].[All]" allUniqueName="[Table3].[sector_id].[All]" dimensionUniqueName="[Table3]" displayFolder="" count="0" memberValueDatatype="130" unbalanced="0"/>
    <cacheHierarchy uniqueName="[Table3].[exchange_id]" caption="exchange_id" attribute="1" defaultMemberUniqueName="[Table3].[exchange_id].[All]" allUniqueName="[Table3].[exchange_id].[All]" dimensionUniqueName="[Table3]"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company_id]" caption="company_id" attribute="1" defaultMemberUniqueName="[Table7].[company_id].[All]" allUniqueName="[Table7].[company_id].[All]" dimensionUniqueName="[Table7]" displayFolder="" count="0" memberValueDatatype="130" unbalanced="0"/>
    <cacheHierarchy uniqueName="[Table7].[open]" caption="open" attribute="1" defaultMemberUniqueName="[Table7].[open].[All]" allUniqueName="[Table7].[open].[All]" dimensionUniqueName="[Table7]" displayFolder="" count="0" memberValueDatatype="5" unbalanced="0"/>
    <cacheHierarchy uniqueName="[Table7].[high]" caption="high" attribute="1" defaultMemberUniqueName="[Table7].[high].[All]" allUniqueName="[Table7].[high].[All]" dimensionUniqueName="[Table7]" displayFolder="" count="0" memberValueDatatype="5" unbalanced="0"/>
    <cacheHierarchy uniqueName="[Table7].[low]" caption="low" attribute="1" defaultMemberUniqueName="[Table7].[low].[All]" allUniqueName="[Table7].[low].[All]" dimensionUniqueName="[Table7]" displayFolder="" count="0" memberValueDatatype="5" unbalanced="0"/>
    <cacheHierarchy uniqueName="[Table7].[close]" caption="close" attribute="1" defaultMemberUniqueName="[Table7].[close].[All]" allUniqueName="[Table7].[close].[All]" dimensionUniqueName="[Table7]" displayFolder="" count="0" memberValueDatatype="5" unbalanced="0"/>
    <cacheHierarchy uniqueName="[Table7].[volume]" caption="volume" attribute="1" defaultMemberUniqueName="[Table7].[volume].[All]" allUniqueName="[Table7].[volume].[All]" dimensionUniqueName="[Table7]" displayFolder="" count="0" memberValueDatatype="20" unbalanced="0"/>
    <cacheHierarchy uniqueName="[Table7].[Daily Return]" caption="Daily Return" attribute="1" defaultMemberUniqueName="[Table7].[Daily Return].[All]" allUniqueName="[Table7].[Daily Return].[All]" dimensionUniqueName="[Table7]" displayFolder="" count="0" memberValueDatatype="5" unbalanced="0"/>
    <cacheHierarchy uniqueName="[Measures].[Sum of volume]" caption="Sum of volume" measure="1" displayFolder="" measureGroup="Table7" count="0">
      <extLst>
        <ext xmlns:x15="http://schemas.microsoft.com/office/spreadsheetml/2010/11/main" uri="{B97F6D7D-B522-45F9-BDA1-12C45D357490}">
          <x15:cacheHierarchy aggregatedColumn="24"/>
        </ext>
      </extLst>
    </cacheHierarchy>
    <cacheHierarchy uniqueName="[Measures].[Average of volume]" caption="Average of volume" measure="1" displayFolder="" measureGroup="Table7" count="0" oneField="1">
      <fieldsUsage count="1">
        <fieldUsage x="1"/>
      </fieldsUsage>
      <extLst>
        <ext xmlns:x15="http://schemas.microsoft.com/office/spreadsheetml/2010/11/main" uri="{B97F6D7D-B522-45F9-BDA1-12C45D357490}">
          <x15:cacheHierarchy aggregatedColumn="24"/>
        </ext>
      </extLst>
    </cacheHierarchy>
    <cacheHierarchy uniqueName="[Measures].[Sum of high]" caption="Sum of high" measure="1" displayFolder="" measureGroup="Table7" count="0">
      <extLst>
        <ext xmlns:x15="http://schemas.microsoft.com/office/spreadsheetml/2010/11/main" uri="{B97F6D7D-B522-45F9-BDA1-12C45D357490}">
          <x15:cacheHierarchy aggregatedColumn="21"/>
        </ext>
      </extLst>
    </cacheHierarchy>
    <cacheHierarchy uniqueName="[Measures].[Sum of low]" caption="Sum of low" measure="1" displayFolder="" measureGroup="Table7" count="0">
      <extLst>
        <ext xmlns:x15="http://schemas.microsoft.com/office/spreadsheetml/2010/11/main" uri="{B97F6D7D-B522-45F9-BDA1-12C45D357490}">
          <x15:cacheHierarchy aggregatedColumn="22"/>
        </ext>
      </extLst>
    </cacheHierarchy>
    <cacheHierarchy uniqueName="[Measures].[Max of high]" caption="Max of high" measure="1" displayFolder="" measureGroup="Table7" count="0">
      <extLst>
        <ext xmlns:x15="http://schemas.microsoft.com/office/spreadsheetml/2010/11/main" uri="{B97F6D7D-B522-45F9-BDA1-12C45D357490}">
          <x15:cacheHierarchy aggregatedColumn="21"/>
        </ext>
      </extLst>
    </cacheHierarchy>
    <cacheHierarchy uniqueName="[Measures].[Min of low]" caption="Min of low" measure="1" displayFolder="" measureGroup="Table7" count="0">
      <extLst>
        <ext xmlns:x15="http://schemas.microsoft.com/office/spreadsheetml/2010/11/main" uri="{B97F6D7D-B522-45F9-BDA1-12C45D357490}">
          <x15:cacheHierarchy aggregatedColumn="22"/>
        </ext>
      </extLst>
    </cacheHierarchy>
    <cacheHierarchy uniqueName="[Measures].[Sum of Avg Trade Value]" caption="Sum of Avg Trade Value" measure="1" displayFolder="" measureGroup="Table11" count="0">
      <extLst>
        <ext xmlns:x15="http://schemas.microsoft.com/office/spreadsheetml/2010/11/main" uri="{B97F6D7D-B522-45F9-BDA1-12C45D357490}">
          <x15:cacheHierarchy aggregatedColumn="12"/>
        </ext>
      </extLst>
    </cacheHierarchy>
    <cacheHierarchy uniqueName="[Measures].[Max of Avg Trade Value]" caption="Max of Avg Trade Value" measure="1" displayFolder="" measureGroup="Table11" count="0">
      <extLst>
        <ext xmlns:x15="http://schemas.microsoft.com/office/spreadsheetml/2010/11/main" uri="{B97F6D7D-B522-45F9-BDA1-12C45D357490}">
          <x15:cacheHierarchy aggregatedColumn="12"/>
        </ext>
      </extLst>
    </cacheHierarchy>
    <cacheHierarchy uniqueName="[Measures].[Count of side]" caption="Count of side" measure="1" displayFolder="" measureGroup="Table11"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11" count="0">
      <extLst>
        <ext xmlns:x15="http://schemas.microsoft.com/office/spreadsheetml/2010/11/main" uri="{B97F6D7D-B522-45F9-BDA1-12C45D357490}">
          <x15:cacheHierarchy aggregatedColumn="5"/>
        </ext>
      </extLst>
    </cacheHierarchy>
    <cacheHierarchy uniqueName="[Measures].[Sum of Daily Return]" caption="Sum of Daily Return" measure="1" displayFolder="" measureGroup="Table7" count="0">
      <extLst>
        <ext xmlns:x15="http://schemas.microsoft.com/office/spreadsheetml/2010/11/main" uri="{B97F6D7D-B522-45F9-BDA1-12C45D357490}">
          <x15:cacheHierarchy aggregatedColumn="25"/>
        </ext>
      </extLst>
    </cacheHierarchy>
    <cacheHierarchy uniqueName="[Measures].[Average of Daily Return]" caption="Average of Daily Return" measure="1" displayFolder="" measureGroup="Table7" count="0">
      <extLst>
        <ext xmlns:x15="http://schemas.microsoft.com/office/spreadsheetml/2010/11/main" uri="{B97F6D7D-B522-45F9-BDA1-12C45D357490}">
          <x15:cacheHierarchy aggregatedColumn="25"/>
        </ext>
      </extLst>
    </cacheHierarchy>
    <cacheHierarchy uniqueName="[Measures].[Sum of fees]" caption="Sum of fees" measure="1" displayFolder="" measureGroup="Table11" count="0">
      <extLst>
        <ext xmlns:x15="http://schemas.microsoft.com/office/spreadsheetml/2010/11/main" uri="{B97F6D7D-B522-45F9-BDA1-12C45D357490}">
          <x15:cacheHierarchy aggregatedColumn="7"/>
        </ext>
      </extLst>
    </cacheHierarchy>
    <cacheHierarchy uniqueName="[Measures].[Average of Avg Trade Value]" caption="Average of Avg Trade Value" measure="1" displayFolder="" measureGroup="Table11" count="0">
      <extLst>
        <ext xmlns:x15="http://schemas.microsoft.com/office/spreadsheetml/2010/11/main" uri="{B97F6D7D-B522-45F9-BDA1-12C45D357490}">
          <x15:cacheHierarchy aggregatedColumn="12"/>
        </ext>
      </extLst>
    </cacheHierarchy>
    <cacheHierarchy uniqueName="[Measures].[Max Opening Price]" caption="Max Opening Price" measure="1" displayFolder="" measureGroup="Table7" count="0"/>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ies>
  <kpis count="0"/>
  <dimensions count="4">
    <dimension measure="1" name="Measures" uniqueName="[Measures]" caption="Measures"/>
    <dimension name="Table11" uniqueName="[Table11]" caption="Table11"/>
    <dimension name="Table3" uniqueName="[Table3]" caption="Table3"/>
    <dimension name="Table7" uniqueName="[Table7]" caption="Table7"/>
  </dimensions>
  <measureGroups count="3">
    <measureGroup name="Table11" caption="Table11"/>
    <measureGroup name="Table3" caption="Table3"/>
    <measureGroup name="Table7" caption="Table7"/>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2.942323726849" backgroundQuery="1" createdVersion="8" refreshedVersion="8" minRefreshableVersion="3" recordCount="0" supportSubquery="1" supportAdvancedDrill="1" xr:uid="{21575060-1EB4-4891-8066-D113178FEA32}">
  <cacheSource type="external" connectionId="1"/>
  <cacheFields count="3">
    <cacheField name="[Table3].[company_name].[company_name]" caption="company_name" numFmtId="0" hierarchy="15" level="1">
      <sharedItems count="8">
        <s v="Amazon"/>
        <s v="Apple"/>
        <s v="HDFC Bank"/>
        <s v="Infosys"/>
        <s v="Microsoft"/>
        <s v="Pfizer"/>
        <s v="Reliance"/>
        <s v="TCS"/>
      </sharedItems>
    </cacheField>
    <cacheField name="[Table11].[side].[side]" caption="side" numFmtId="0" hierarchy="4" level="1">
      <sharedItems count="2">
        <s v="BUY"/>
        <s v="SELL"/>
      </sharedItems>
    </cacheField>
    <cacheField name="[Measures].[Sum of quantity]" caption="Sum of quantity" numFmtId="0" hierarchy="35" level="32767"/>
  </cacheFields>
  <cacheHierarchies count="45">
    <cacheHierarchy uniqueName="[Table11].[trade_id]" caption="trade_id" attribute="1" defaultMemberUniqueName="[Table11].[trade_id].[All]" allUniqueName="[Table11].[trade_id].[All]" dimensionUniqueName="[Table11]" displayFolder="" count="2" memberValueDatatype="130" unbalanced="0"/>
    <cacheHierarchy uniqueName="[Table11].[order_id]" caption="order_id" attribute="1" defaultMemberUniqueName="[Table11].[order_id].[All]" allUniqueName="[Table11].[order_id].[All]" dimensionUniqueName="[Table11]" displayFolder="" count="2" memberValueDatatype="130" unbalanced="0"/>
    <cacheHierarchy uniqueName="[Table11].[trade_ts]" caption="trade_ts" attribute="1" time="1" defaultMemberUniqueName="[Table11].[trade_ts].[All]" allUniqueName="[Table11].[trade_ts].[All]" dimensionUniqueName="[Table11]" displayFolder="" count="2" memberValueDatatype="7" unbalanced="0"/>
    <cacheHierarchy uniqueName="[Table11].[company_id]" caption="company_id" attribute="1" defaultMemberUniqueName="[Table11].[company_id].[All]" allUniqueName="[Table11].[company_id].[All]" dimensionUniqueName="[Table11]" displayFolder="" count="2" memberValueDatatype="130" unbalanced="0"/>
    <cacheHierarchy uniqueName="[Table11].[side]" caption="side" attribute="1" defaultMemberUniqueName="[Table11].[side].[All]" allUniqueName="[Table11].[side].[All]" dimensionUniqueName="[Table11]" displayFolder="" count="2" memberValueDatatype="130" unbalanced="0">
      <fieldsUsage count="2">
        <fieldUsage x="-1"/>
        <fieldUsage x="1"/>
      </fieldsUsage>
    </cacheHierarchy>
    <cacheHierarchy uniqueName="[Table11].[quantity]" caption="quantity" attribute="1" defaultMemberUniqueName="[Table11].[quantity].[All]" allUniqueName="[Table11].[quantity].[All]" dimensionUniqueName="[Table11]" displayFolder="" count="2" memberValueDatatype="20" unbalanced="0"/>
    <cacheHierarchy uniqueName="[Table11].[price]" caption="price" attribute="1" defaultMemberUniqueName="[Table11].[price].[All]" allUniqueName="[Table11].[price].[All]" dimensionUniqueName="[Table11]" displayFolder="" count="2" memberValueDatatype="5" unbalanced="0"/>
    <cacheHierarchy uniqueName="[Table11].[fees]" caption="fees" attribute="1" defaultMemberUniqueName="[Table11].[fees].[All]" allUniqueName="[Table11].[fees].[All]" dimensionUniqueName="[Table11]" displayFolder="" count="2" memberValueDatatype="5" unbalanced="0"/>
    <cacheHierarchy uniqueName="[Table11].[trader_id]" caption="trader_id" attribute="1" defaultMemberUniqueName="[Table11].[trader_id].[All]" allUniqueName="[Table11].[trader_id].[All]" dimensionUniqueName="[Table11]" displayFolder="" count="2" memberValueDatatype="130" unbalanced="0"/>
    <cacheHierarchy uniqueName="[Table11].[portfolio_id]" caption="portfolio_id" attribute="1" defaultMemberUniqueName="[Table11].[portfolio_id].[All]" allUniqueName="[Table11].[portfolio_id].[All]" dimensionUniqueName="[Table11]" displayFolder="" count="2" memberValueDatatype="130" unbalanced="0"/>
    <cacheHierarchy uniqueName="[Table11].[exchange_id]" caption="exchange_id" attribute="1" defaultMemberUniqueName="[Table11].[exchange_id].[All]" allUniqueName="[Table11].[exchange_id].[All]" dimensionUniqueName="[Table11]" displayFolder="" count="2" memberValueDatatype="130" unbalanced="0"/>
    <cacheHierarchy uniqueName="[Table11].[date]" caption="date" attribute="1" time="1" defaultMemberUniqueName="[Table11].[date].[All]" allUniqueName="[Table11].[date].[All]" dimensionUniqueName="[Table11]" displayFolder="" count="2" memberValueDatatype="7" unbalanced="0"/>
    <cacheHierarchy uniqueName="[Table11].[Avg Trade Value]" caption="Avg Trade Value" attribute="1" defaultMemberUniqueName="[Table11].[Avg Trade Value].[All]" allUniqueName="[Table11].[Avg Trade Value].[All]" dimensionUniqueName="[Table11]" displayFolder="" count="2" memberValueDatatype="5" unbalanced="0"/>
    <cacheHierarchy uniqueName="[Table3].[company_id]" caption="company_id" attribute="1" defaultMemberUniqueName="[Table3].[company_id].[All]" allUniqueName="[Table3].[company_id].[All]" dimensionUniqueName="[Table3]" displayFolder="" count="2" memberValueDatatype="130" unbalanced="0"/>
    <cacheHierarchy uniqueName="[Table3].[ticker]" caption="ticker" attribute="1" defaultMemberUniqueName="[Table3].[ticker].[All]" allUniqueName="[Table3].[ticker].[All]" dimensionUniqueName="[Table3]" displayFolder="" count="2" memberValueDatatype="130" unbalanced="0"/>
    <cacheHierarchy uniqueName="[Table3].[company_name]" caption="company_name" attribute="1" defaultMemberUniqueName="[Table3].[company_name].[All]" allUniqueName="[Table3].[company_name].[All]" dimensionUniqueName="[Table3]" displayFolder="" count="2" memberValueDatatype="130" unbalanced="0">
      <fieldsUsage count="2">
        <fieldUsage x="-1"/>
        <fieldUsage x="0"/>
      </fieldsUsage>
    </cacheHierarchy>
    <cacheHierarchy uniqueName="[Table3].[sector_id]" caption="sector_id" attribute="1" defaultMemberUniqueName="[Table3].[sector_id].[All]" allUniqueName="[Table3].[sector_id].[All]" dimensionUniqueName="[Table3]" displayFolder="" count="2" memberValueDatatype="130" unbalanced="0"/>
    <cacheHierarchy uniqueName="[Table3].[exchange_id]" caption="exchange_id" attribute="1" defaultMemberUniqueName="[Table3].[exchange_id].[All]" allUniqueName="[Table3].[exchange_id].[All]" dimensionUniqueName="[Table3]" displayFolder="" count="2" memberValueDatatype="130" unbalanced="0"/>
    <cacheHierarchy uniqueName="[Table7].[date]" caption="date" attribute="1" time="1" defaultMemberUniqueName="[Table7].[date].[All]" allUniqueName="[Table7].[date].[All]" dimensionUniqueName="[Table7]" displayFolder="" count="2" memberValueDatatype="7" unbalanced="0"/>
    <cacheHierarchy uniqueName="[Table7].[company_id]" caption="company_id" attribute="1" defaultMemberUniqueName="[Table7].[company_id].[All]" allUniqueName="[Table7].[company_id].[All]" dimensionUniqueName="[Table7]" displayFolder="" count="2" memberValueDatatype="130" unbalanced="0"/>
    <cacheHierarchy uniqueName="[Table7].[open]" caption="open" attribute="1" defaultMemberUniqueName="[Table7].[open].[All]" allUniqueName="[Table7].[open].[All]" dimensionUniqueName="[Table7]" displayFolder="" count="2" memberValueDatatype="5" unbalanced="0"/>
    <cacheHierarchy uniqueName="[Table7].[high]" caption="high" attribute="1" defaultMemberUniqueName="[Table7].[high].[All]" allUniqueName="[Table7].[high].[All]" dimensionUniqueName="[Table7]" displayFolder="" count="2" memberValueDatatype="5" unbalanced="0"/>
    <cacheHierarchy uniqueName="[Table7].[low]" caption="low" attribute="1" defaultMemberUniqueName="[Table7].[low].[All]" allUniqueName="[Table7].[low].[All]" dimensionUniqueName="[Table7]" displayFolder="" count="2" memberValueDatatype="5" unbalanced="0"/>
    <cacheHierarchy uniqueName="[Table7].[close]" caption="close" attribute="1" defaultMemberUniqueName="[Table7].[close].[All]" allUniqueName="[Table7].[close].[All]" dimensionUniqueName="[Table7]" displayFolder="" count="2" memberValueDatatype="5" unbalanced="0"/>
    <cacheHierarchy uniqueName="[Table7].[volume]" caption="volume" attribute="1" defaultMemberUniqueName="[Table7].[volume].[All]" allUniqueName="[Table7].[volume].[All]" dimensionUniqueName="[Table7]" displayFolder="" count="2" memberValueDatatype="20" unbalanced="0"/>
    <cacheHierarchy uniqueName="[Table7].[Daily Return]" caption="Daily Return" attribute="1" defaultMemberUniqueName="[Table7].[Daily Return].[All]" allUniqueName="[Table7].[Daily Return].[All]" dimensionUniqueName="[Table7]" displayFolder="" count="2" memberValueDatatype="5" unbalanced="0"/>
    <cacheHierarchy uniqueName="[Measures].[Sum of volume]" caption="Sum of volume" measure="1" displayFolder="" measureGroup="Table7" count="0">
      <extLst>
        <ext xmlns:x15="http://schemas.microsoft.com/office/spreadsheetml/2010/11/main" uri="{B97F6D7D-B522-45F9-BDA1-12C45D357490}">
          <x15:cacheHierarchy aggregatedColumn="24"/>
        </ext>
      </extLst>
    </cacheHierarchy>
    <cacheHierarchy uniqueName="[Measures].[Average of volume]" caption="Average of volume" measure="1" displayFolder="" measureGroup="Table7" count="0">
      <extLst>
        <ext xmlns:x15="http://schemas.microsoft.com/office/spreadsheetml/2010/11/main" uri="{B97F6D7D-B522-45F9-BDA1-12C45D357490}">
          <x15:cacheHierarchy aggregatedColumn="24"/>
        </ext>
      </extLst>
    </cacheHierarchy>
    <cacheHierarchy uniqueName="[Measures].[Sum of high]" caption="Sum of high" measure="1" displayFolder="" measureGroup="Table7" count="0">
      <extLst>
        <ext xmlns:x15="http://schemas.microsoft.com/office/spreadsheetml/2010/11/main" uri="{B97F6D7D-B522-45F9-BDA1-12C45D357490}">
          <x15:cacheHierarchy aggregatedColumn="21"/>
        </ext>
      </extLst>
    </cacheHierarchy>
    <cacheHierarchy uniqueName="[Measures].[Sum of low]" caption="Sum of low" measure="1" displayFolder="" measureGroup="Table7" count="0">
      <extLst>
        <ext xmlns:x15="http://schemas.microsoft.com/office/spreadsheetml/2010/11/main" uri="{B97F6D7D-B522-45F9-BDA1-12C45D357490}">
          <x15:cacheHierarchy aggregatedColumn="22"/>
        </ext>
      </extLst>
    </cacheHierarchy>
    <cacheHierarchy uniqueName="[Measures].[Max of high]" caption="Max of high" measure="1" displayFolder="" measureGroup="Table7" count="0">
      <extLst>
        <ext xmlns:x15="http://schemas.microsoft.com/office/spreadsheetml/2010/11/main" uri="{B97F6D7D-B522-45F9-BDA1-12C45D357490}">
          <x15:cacheHierarchy aggregatedColumn="21"/>
        </ext>
      </extLst>
    </cacheHierarchy>
    <cacheHierarchy uniqueName="[Measures].[Min of low]" caption="Min of low" measure="1" displayFolder="" measureGroup="Table7" count="0">
      <extLst>
        <ext xmlns:x15="http://schemas.microsoft.com/office/spreadsheetml/2010/11/main" uri="{B97F6D7D-B522-45F9-BDA1-12C45D357490}">
          <x15:cacheHierarchy aggregatedColumn="22"/>
        </ext>
      </extLst>
    </cacheHierarchy>
    <cacheHierarchy uniqueName="[Measures].[Sum of Avg Trade Value]" caption="Sum of Avg Trade Value" measure="1" displayFolder="" measureGroup="Table11" count="0">
      <extLst>
        <ext xmlns:x15="http://schemas.microsoft.com/office/spreadsheetml/2010/11/main" uri="{B97F6D7D-B522-45F9-BDA1-12C45D357490}">
          <x15:cacheHierarchy aggregatedColumn="12"/>
        </ext>
      </extLst>
    </cacheHierarchy>
    <cacheHierarchy uniqueName="[Measures].[Max of Avg Trade Value]" caption="Max of Avg Trade Value" measure="1" displayFolder="" measureGroup="Table11" count="0">
      <extLst>
        <ext xmlns:x15="http://schemas.microsoft.com/office/spreadsheetml/2010/11/main" uri="{B97F6D7D-B522-45F9-BDA1-12C45D357490}">
          <x15:cacheHierarchy aggregatedColumn="12"/>
        </ext>
      </extLst>
    </cacheHierarchy>
    <cacheHierarchy uniqueName="[Measures].[Count of side]" caption="Count of side" measure="1" displayFolder="" measureGroup="Table11"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11" count="0" oneField="1">
      <fieldsUsage count="1">
        <fieldUsage x="2"/>
      </fieldsUsage>
      <extLst>
        <ext xmlns:x15="http://schemas.microsoft.com/office/spreadsheetml/2010/11/main" uri="{B97F6D7D-B522-45F9-BDA1-12C45D357490}">
          <x15:cacheHierarchy aggregatedColumn="5"/>
        </ext>
      </extLst>
    </cacheHierarchy>
    <cacheHierarchy uniqueName="[Measures].[Sum of Daily Return]" caption="Sum of Daily Return" measure="1" displayFolder="" measureGroup="Table7" count="0">
      <extLst>
        <ext xmlns:x15="http://schemas.microsoft.com/office/spreadsheetml/2010/11/main" uri="{B97F6D7D-B522-45F9-BDA1-12C45D357490}">
          <x15:cacheHierarchy aggregatedColumn="25"/>
        </ext>
      </extLst>
    </cacheHierarchy>
    <cacheHierarchy uniqueName="[Measures].[Average of Daily Return]" caption="Average of Daily Return" measure="1" displayFolder="" measureGroup="Table7" count="0">
      <extLst>
        <ext xmlns:x15="http://schemas.microsoft.com/office/spreadsheetml/2010/11/main" uri="{B97F6D7D-B522-45F9-BDA1-12C45D357490}">
          <x15:cacheHierarchy aggregatedColumn="25"/>
        </ext>
      </extLst>
    </cacheHierarchy>
    <cacheHierarchy uniqueName="[Measures].[Sum of fees]" caption="Sum of fees" measure="1" displayFolder="" measureGroup="Table11" count="0">
      <extLst>
        <ext xmlns:x15="http://schemas.microsoft.com/office/spreadsheetml/2010/11/main" uri="{B97F6D7D-B522-45F9-BDA1-12C45D357490}">
          <x15:cacheHierarchy aggregatedColumn="7"/>
        </ext>
      </extLst>
    </cacheHierarchy>
    <cacheHierarchy uniqueName="[Measures].[Average of Avg Trade Value]" caption="Average of Avg Trade Value" measure="1" displayFolder="" measureGroup="Table11" count="0">
      <extLst>
        <ext xmlns:x15="http://schemas.microsoft.com/office/spreadsheetml/2010/11/main" uri="{B97F6D7D-B522-45F9-BDA1-12C45D357490}">
          <x15:cacheHierarchy aggregatedColumn="12"/>
        </ext>
      </extLst>
    </cacheHierarchy>
    <cacheHierarchy uniqueName="[Measures].[Max Opening Price]" caption="Max Opening Price" measure="1" displayFolder="" measureGroup="Table7" count="0"/>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ies>
  <kpis count="0"/>
  <dimensions count="4">
    <dimension measure="1" name="Measures" uniqueName="[Measures]" caption="Measures"/>
    <dimension name="Table11" uniqueName="[Table11]" caption="Table11"/>
    <dimension name="Table3" uniqueName="[Table3]" caption="Table3"/>
    <dimension name="Table7" uniqueName="[Table7]" caption="Table7"/>
  </dimensions>
  <measureGroups count="3">
    <measureGroup name="Table11" caption="Table11"/>
    <measureGroup name="Table3" caption="Table3"/>
    <measureGroup name="Table7" caption="Table7"/>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2.942324305557" backgroundQuery="1" createdVersion="8" refreshedVersion="8" minRefreshableVersion="3" recordCount="0" supportSubquery="1" supportAdvancedDrill="1" xr:uid="{EC959E06-6B45-4D91-9094-3ADF85DA1579}">
  <cacheSource type="external" connectionId="1"/>
  <cacheFields count="2">
    <cacheField name="[Measures].[Max Opening Price]" caption="Max Opening Price" numFmtId="0" hierarchy="40" level="32767"/>
    <cacheField name="[Table3].[company_name].[company_name]" caption="company_name" numFmtId="0" hierarchy="15" level="1">
      <sharedItems count="8">
        <s v="Amazon"/>
        <s v="Apple"/>
        <s v="HDFC Bank"/>
        <s v="Infosys"/>
        <s v="Microsoft"/>
        <s v="Pfizer"/>
        <s v="Reliance"/>
        <s v="TCS"/>
      </sharedItems>
    </cacheField>
  </cacheFields>
  <cacheHierarchies count="45">
    <cacheHierarchy uniqueName="[Table11].[trade_id]" caption="trade_id" attribute="1" defaultMemberUniqueName="[Table11].[trade_id].[All]" allUniqueName="[Table11].[trade_id].[All]" dimensionUniqueName="[Table11]" displayFolder="" count="0" memberValueDatatype="130" unbalanced="0"/>
    <cacheHierarchy uniqueName="[Table11].[order_id]" caption="order_id" attribute="1" defaultMemberUniqueName="[Table11].[order_id].[All]" allUniqueName="[Table11].[order_id].[All]" dimensionUniqueName="[Table11]" displayFolder="" count="0" memberValueDatatype="130" unbalanced="0"/>
    <cacheHierarchy uniqueName="[Table11].[trade_ts]" caption="trade_ts" attribute="1" time="1" defaultMemberUniqueName="[Table11].[trade_ts].[All]" allUniqueName="[Table11].[trade_ts].[All]" dimensionUniqueName="[Table11]" displayFolder="" count="0" memberValueDatatype="7" unbalanced="0"/>
    <cacheHierarchy uniqueName="[Table11].[company_id]" caption="company_id" attribute="1" defaultMemberUniqueName="[Table11].[company_id].[All]" allUniqueName="[Table11].[company_id].[All]" dimensionUniqueName="[Table11]" displayFolder="" count="0" memberValueDatatype="130" unbalanced="0"/>
    <cacheHierarchy uniqueName="[Table11].[side]" caption="side" attribute="1" defaultMemberUniqueName="[Table11].[side].[All]" allUniqueName="[Table11].[side].[All]" dimensionUniqueName="[Table11]" displayFolder="" count="0" memberValueDatatype="130" unbalanced="0"/>
    <cacheHierarchy uniqueName="[Table11].[quantity]" caption="quantity" attribute="1" defaultMemberUniqueName="[Table11].[quantity].[All]" allUniqueName="[Table11].[quantity].[All]" dimensionUniqueName="[Table11]" displayFolder="" count="0" memberValueDatatype="20" unbalanced="0"/>
    <cacheHierarchy uniqueName="[Table11].[price]" caption="price" attribute="1" defaultMemberUniqueName="[Table11].[price].[All]" allUniqueName="[Table11].[price].[All]" dimensionUniqueName="[Table11]" displayFolder="" count="0" memberValueDatatype="5" unbalanced="0"/>
    <cacheHierarchy uniqueName="[Table11].[fees]" caption="fees" attribute="1" defaultMemberUniqueName="[Table11].[fees].[All]" allUniqueName="[Table11].[fees].[All]" dimensionUniqueName="[Table11]" displayFolder="" count="0" memberValueDatatype="5" unbalanced="0"/>
    <cacheHierarchy uniqueName="[Table11].[trader_id]" caption="trader_id" attribute="1" defaultMemberUniqueName="[Table11].[trader_id].[All]" allUniqueName="[Table11].[trader_id].[All]" dimensionUniqueName="[Table11]" displayFolder="" count="2" memberValueDatatype="130" unbalanced="0"/>
    <cacheHierarchy uniqueName="[Table11].[portfolio_id]" caption="portfolio_id" attribute="1" defaultMemberUniqueName="[Table11].[portfolio_id].[All]" allUniqueName="[Table11].[portfolio_id].[All]" dimensionUniqueName="[Table11]" displayFolder="" count="0" memberValueDatatype="130" unbalanced="0"/>
    <cacheHierarchy uniqueName="[Table11].[exchange_id]" caption="exchange_id" attribute="1" defaultMemberUniqueName="[Table11].[exchange_id].[All]" allUniqueName="[Table11].[exchange_id].[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Avg Trade Value]" caption="Avg Trade Value" attribute="1" defaultMemberUniqueName="[Table11].[Avg Trade Value].[All]" allUniqueName="[Table11].[Avg Trade Value].[All]" dimensionUniqueName="[Table11]" displayFolder="" count="0" memberValueDatatype="5" unbalanced="0"/>
    <cacheHierarchy uniqueName="[Table3].[company_id]" caption="company_id" attribute="1" defaultMemberUniqueName="[Table3].[company_id].[All]" allUniqueName="[Table3].[company_id].[All]" dimensionUniqueName="[Table3]" displayFolder="" count="0" memberValueDatatype="130" unbalanced="0"/>
    <cacheHierarchy uniqueName="[Table3].[ticker]" caption="ticker" attribute="1" defaultMemberUniqueName="[Table3].[ticker].[All]" allUniqueName="[Table3].[ticker].[All]" dimensionUniqueName="[Table3]" displayFolder="" count="0" memberValueDatatype="130" unbalanced="0"/>
    <cacheHierarchy uniqueName="[Table3].[company_name]" caption="company_name" attribute="1" defaultMemberUniqueName="[Table3].[company_name].[All]" allUniqueName="[Table3].[company_name].[All]" dimensionUniqueName="[Table3]" displayFolder="" count="2" memberValueDatatype="130" unbalanced="0">
      <fieldsUsage count="2">
        <fieldUsage x="-1"/>
        <fieldUsage x="1"/>
      </fieldsUsage>
    </cacheHierarchy>
    <cacheHierarchy uniqueName="[Table3].[sector_id]" caption="sector_id" attribute="1" defaultMemberUniqueName="[Table3].[sector_id].[All]" allUniqueName="[Table3].[sector_id].[All]" dimensionUniqueName="[Table3]" displayFolder="" count="0" memberValueDatatype="130" unbalanced="0"/>
    <cacheHierarchy uniqueName="[Table3].[exchange_id]" caption="exchange_id" attribute="1" defaultMemberUniqueName="[Table3].[exchange_id].[All]" allUniqueName="[Table3].[exchange_id].[All]" dimensionUniqueName="[Table3]"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company_id]" caption="company_id" attribute="1" defaultMemberUniqueName="[Table7].[company_id].[All]" allUniqueName="[Table7].[company_id].[All]" dimensionUniqueName="[Table7]" displayFolder="" count="0" memberValueDatatype="130" unbalanced="0"/>
    <cacheHierarchy uniqueName="[Table7].[open]" caption="open" attribute="1" defaultMemberUniqueName="[Table7].[open].[All]" allUniqueName="[Table7].[open].[All]" dimensionUniqueName="[Table7]" displayFolder="" count="0" memberValueDatatype="5" unbalanced="0"/>
    <cacheHierarchy uniqueName="[Table7].[high]" caption="high" attribute="1" defaultMemberUniqueName="[Table7].[high].[All]" allUniqueName="[Table7].[high].[All]" dimensionUniqueName="[Table7]" displayFolder="" count="0" memberValueDatatype="5" unbalanced="0"/>
    <cacheHierarchy uniqueName="[Table7].[low]" caption="low" attribute="1" defaultMemberUniqueName="[Table7].[low].[All]" allUniqueName="[Table7].[low].[All]" dimensionUniqueName="[Table7]" displayFolder="" count="0" memberValueDatatype="5" unbalanced="0"/>
    <cacheHierarchy uniqueName="[Table7].[close]" caption="close" attribute="1" defaultMemberUniqueName="[Table7].[close].[All]" allUniqueName="[Table7].[close].[All]" dimensionUniqueName="[Table7]" displayFolder="" count="0" memberValueDatatype="5" unbalanced="0"/>
    <cacheHierarchy uniqueName="[Table7].[volume]" caption="volume" attribute="1" defaultMemberUniqueName="[Table7].[volume].[All]" allUniqueName="[Table7].[volume].[All]" dimensionUniqueName="[Table7]" displayFolder="" count="0" memberValueDatatype="20" unbalanced="0"/>
    <cacheHierarchy uniqueName="[Table7].[Daily Return]" caption="Daily Return" attribute="1" defaultMemberUniqueName="[Table7].[Daily Return].[All]" allUniqueName="[Table7].[Daily Return].[All]" dimensionUniqueName="[Table7]" displayFolder="" count="0" memberValueDatatype="5" unbalanced="0"/>
    <cacheHierarchy uniqueName="[Measures].[Sum of volume]" caption="Sum of volume" measure="1" displayFolder="" measureGroup="Table7" count="0">
      <extLst>
        <ext xmlns:x15="http://schemas.microsoft.com/office/spreadsheetml/2010/11/main" uri="{B97F6D7D-B522-45F9-BDA1-12C45D357490}">
          <x15:cacheHierarchy aggregatedColumn="24"/>
        </ext>
      </extLst>
    </cacheHierarchy>
    <cacheHierarchy uniqueName="[Measures].[Average of volume]" caption="Average of volume" measure="1" displayFolder="" measureGroup="Table7" count="0">
      <extLst>
        <ext xmlns:x15="http://schemas.microsoft.com/office/spreadsheetml/2010/11/main" uri="{B97F6D7D-B522-45F9-BDA1-12C45D357490}">
          <x15:cacheHierarchy aggregatedColumn="24"/>
        </ext>
      </extLst>
    </cacheHierarchy>
    <cacheHierarchy uniqueName="[Measures].[Sum of high]" caption="Sum of high" measure="1" displayFolder="" measureGroup="Table7" count="0">
      <extLst>
        <ext xmlns:x15="http://schemas.microsoft.com/office/spreadsheetml/2010/11/main" uri="{B97F6D7D-B522-45F9-BDA1-12C45D357490}">
          <x15:cacheHierarchy aggregatedColumn="21"/>
        </ext>
      </extLst>
    </cacheHierarchy>
    <cacheHierarchy uniqueName="[Measures].[Sum of low]" caption="Sum of low" measure="1" displayFolder="" measureGroup="Table7" count="0">
      <extLst>
        <ext xmlns:x15="http://schemas.microsoft.com/office/spreadsheetml/2010/11/main" uri="{B97F6D7D-B522-45F9-BDA1-12C45D357490}">
          <x15:cacheHierarchy aggregatedColumn="22"/>
        </ext>
      </extLst>
    </cacheHierarchy>
    <cacheHierarchy uniqueName="[Measures].[Max of high]" caption="Max of high" measure="1" displayFolder="" measureGroup="Table7" count="0">
      <extLst>
        <ext xmlns:x15="http://schemas.microsoft.com/office/spreadsheetml/2010/11/main" uri="{B97F6D7D-B522-45F9-BDA1-12C45D357490}">
          <x15:cacheHierarchy aggregatedColumn="21"/>
        </ext>
      </extLst>
    </cacheHierarchy>
    <cacheHierarchy uniqueName="[Measures].[Min of low]" caption="Min of low" measure="1" displayFolder="" measureGroup="Table7" count="0">
      <extLst>
        <ext xmlns:x15="http://schemas.microsoft.com/office/spreadsheetml/2010/11/main" uri="{B97F6D7D-B522-45F9-BDA1-12C45D357490}">
          <x15:cacheHierarchy aggregatedColumn="22"/>
        </ext>
      </extLst>
    </cacheHierarchy>
    <cacheHierarchy uniqueName="[Measures].[Sum of Avg Trade Value]" caption="Sum of Avg Trade Value" measure="1" displayFolder="" measureGroup="Table11" count="0">
      <extLst>
        <ext xmlns:x15="http://schemas.microsoft.com/office/spreadsheetml/2010/11/main" uri="{B97F6D7D-B522-45F9-BDA1-12C45D357490}">
          <x15:cacheHierarchy aggregatedColumn="12"/>
        </ext>
      </extLst>
    </cacheHierarchy>
    <cacheHierarchy uniqueName="[Measures].[Max of Avg Trade Value]" caption="Max of Avg Trade Value" measure="1" displayFolder="" measureGroup="Table11" count="0">
      <extLst>
        <ext xmlns:x15="http://schemas.microsoft.com/office/spreadsheetml/2010/11/main" uri="{B97F6D7D-B522-45F9-BDA1-12C45D357490}">
          <x15:cacheHierarchy aggregatedColumn="12"/>
        </ext>
      </extLst>
    </cacheHierarchy>
    <cacheHierarchy uniqueName="[Measures].[Count of side]" caption="Count of side" measure="1" displayFolder="" measureGroup="Table11"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11" count="0">
      <extLst>
        <ext xmlns:x15="http://schemas.microsoft.com/office/spreadsheetml/2010/11/main" uri="{B97F6D7D-B522-45F9-BDA1-12C45D357490}">
          <x15:cacheHierarchy aggregatedColumn="5"/>
        </ext>
      </extLst>
    </cacheHierarchy>
    <cacheHierarchy uniqueName="[Measures].[Sum of Daily Return]" caption="Sum of Daily Return" measure="1" displayFolder="" measureGroup="Table7" count="0">
      <extLst>
        <ext xmlns:x15="http://schemas.microsoft.com/office/spreadsheetml/2010/11/main" uri="{B97F6D7D-B522-45F9-BDA1-12C45D357490}">
          <x15:cacheHierarchy aggregatedColumn="25"/>
        </ext>
      </extLst>
    </cacheHierarchy>
    <cacheHierarchy uniqueName="[Measures].[Average of Daily Return]" caption="Average of Daily Return" measure="1" displayFolder="" measureGroup="Table7" count="0">
      <extLst>
        <ext xmlns:x15="http://schemas.microsoft.com/office/spreadsheetml/2010/11/main" uri="{B97F6D7D-B522-45F9-BDA1-12C45D357490}">
          <x15:cacheHierarchy aggregatedColumn="25"/>
        </ext>
      </extLst>
    </cacheHierarchy>
    <cacheHierarchy uniqueName="[Measures].[Sum of fees]" caption="Sum of fees" measure="1" displayFolder="" measureGroup="Table11" count="0">
      <extLst>
        <ext xmlns:x15="http://schemas.microsoft.com/office/spreadsheetml/2010/11/main" uri="{B97F6D7D-B522-45F9-BDA1-12C45D357490}">
          <x15:cacheHierarchy aggregatedColumn="7"/>
        </ext>
      </extLst>
    </cacheHierarchy>
    <cacheHierarchy uniqueName="[Measures].[Average of Avg Trade Value]" caption="Average of Avg Trade Value" measure="1" displayFolder="" measureGroup="Table11" count="0">
      <extLst>
        <ext xmlns:x15="http://schemas.microsoft.com/office/spreadsheetml/2010/11/main" uri="{B97F6D7D-B522-45F9-BDA1-12C45D357490}">
          <x15:cacheHierarchy aggregatedColumn="12"/>
        </ext>
      </extLst>
    </cacheHierarchy>
    <cacheHierarchy uniqueName="[Measures].[Max Opening Price]" caption="Max Opening Price" measure="1" displayFolder="" measureGroup="Table7" count="0" oneField="1">
      <fieldsUsage count="1">
        <fieldUsage x="0"/>
      </fieldsUsage>
    </cacheHierarchy>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ies>
  <kpis count="0"/>
  <dimensions count="4">
    <dimension measure="1" name="Measures" uniqueName="[Measures]" caption="Measures"/>
    <dimension name="Table11" uniqueName="[Table11]" caption="Table11"/>
    <dimension name="Table3" uniqueName="[Table3]" caption="Table3"/>
    <dimension name="Table7" uniqueName="[Table7]" caption="Table7"/>
  </dimensions>
  <measureGroups count="3">
    <measureGroup name="Table11" caption="Table11"/>
    <measureGroup name="Table3" caption="Table3"/>
    <measureGroup name="Table7" caption="Table7"/>
  </measureGroups>
  <maps count="5">
    <map measureGroup="0" dimension="1"/>
    <map measureGroup="0" dimension="2"/>
    <map measureGroup="1" dimension="2"/>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12.941413310182" backgroundQuery="1" createdVersion="3" refreshedVersion="8" minRefreshableVersion="3" recordCount="0" supportSubquery="1" supportAdvancedDrill="1" xr:uid="{7A61BA8B-F34F-4A56-9618-71317D96E72E}">
  <cacheSource type="external" connectionId="1">
    <extLst>
      <ext xmlns:x14="http://schemas.microsoft.com/office/spreadsheetml/2009/9/main" uri="{F057638F-6D5F-4e77-A914-E7F072B9BCA8}">
        <x14:sourceConnection name="ThisWorkbookDataModel"/>
      </ext>
    </extLst>
  </cacheSource>
  <cacheFields count="0"/>
  <cacheHierarchies count="45">
    <cacheHierarchy uniqueName="[Table11].[trade_id]" caption="trade_id" attribute="1" defaultMemberUniqueName="[Table11].[trade_id].[All]" allUniqueName="[Table11].[trade_id].[All]" dimensionUniqueName="[Table11]" displayFolder="" count="0" memberValueDatatype="130" unbalanced="0"/>
    <cacheHierarchy uniqueName="[Table11].[order_id]" caption="order_id" attribute="1" defaultMemberUniqueName="[Table11].[order_id].[All]" allUniqueName="[Table11].[order_id].[All]" dimensionUniqueName="[Table11]" displayFolder="" count="0" memberValueDatatype="130" unbalanced="0"/>
    <cacheHierarchy uniqueName="[Table11].[trade_ts]" caption="trade_ts" attribute="1" time="1" defaultMemberUniqueName="[Table11].[trade_ts].[All]" allUniqueName="[Table11].[trade_ts].[All]" dimensionUniqueName="[Table11]" displayFolder="" count="0" memberValueDatatype="7" unbalanced="0"/>
    <cacheHierarchy uniqueName="[Table11].[company_id]" caption="company_id" attribute="1" defaultMemberUniqueName="[Table11].[company_id].[All]" allUniqueName="[Table11].[company_id].[All]" dimensionUniqueName="[Table11]" displayFolder="" count="0" memberValueDatatype="130" unbalanced="0"/>
    <cacheHierarchy uniqueName="[Table11].[side]" caption="side" attribute="1" defaultMemberUniqueName="[Table11].[side].[All]" allUniqueName="[Table11].[side].[All]" dimensionUniqueName="[Table11]" displayFolder="" count="0" memberValueDatatype="130" unbalanced="0"/>
    <cacheHierarchy uniqueName="[Table11].[quantity]" caption="quantity" attribute="1" defaultMemberUniqueName="[Table11].[quantity].[All]" allUniqueName="[Table11].[quantity].[All]" dimensionUniqueName="[Table11]" displayFolder="" count="0" memberValueDatatype="20" unbalanced="0"/>
    <cacheHierarchy uniqueName="[Table11].[price]" caption="price" attribute="1" defaultMemberUniqueName="[Table11].[price].[All]" allUniqueName="[Table11].[price].[All]" dimensionUniqueName="[Table11]" displayFolder="" count="0" memberValueDatatype="5" unbalanced="0"/>
    <cacheHierarchy uniqueName="[Table11].[fees]" caption="fees" attribute="1" defaultMemberUniqueName="[Table11].[fees].[All]" allUniqueName="[Table11].[fees].[All]" dimensionUniqueName="[Table11]" displayFolder="" count="0" memberValueDatatype="5" unbalanced="0"/>
    <cacheHierarchy uniqueName="[Table11].[trader_id]" caption="trader_id" attribute="1" defaultMemberUniqueName="[Table11].[trader_id].[All]" allUniqueName="[Table11].[trader_id].[All]" dimensionUniqueName="[Table11]" displayFolder="" count="0" memberValueDatatype="130" unbalanced="0"/>
    <cacheHierarchy uniqueName="[Table11].[portfolio_id]" caption="portfolio_id" attribute="1" defaultMemberUniqueName="[Table11].[portfolio_id].[All]" allUniqueName="[Table11].[portfolio_id].[All]" dimensionUniqueName="[Table11]" displayFolder="" count="0" memberValueDatatype="130" unbalanced="0"/>
    <cacheHierarchy uniqueName="[Table11].[exchange_id]" caption="exchange_id" attribute="1" defaultMemberUniqueName="[Table11].[exchange_id].[All]" allUniqueName="[Table11].[exchange_id].[All]" dimensionUniqueName="[Table11]" displayFolder="" count="0" memberValueDatatype="130" unbalanced="0"/>
    <cacheHierarchy uniqueName="[Table11].[date]" caption="date" attribute="1" time="1" defaultMemberUniqueName="[Table11].[date].[All]" allUniqueName="[Table11].[date].[All]" dimensionUniqueName="[Table11]" displayFolder="" count="0" memberValueDatatype="7" unbalanced="0"/>
    <cacheHierarchy uniqueName="[Table11].[Avg Trade Value]" caption="Avg Trade Value" attribute="1" defaultMemberUniqueName="[Table11].[Avg Trade Value].[All]" allUniqueName="[Table11].[Avg Trade Value].[All]" dimensionUniqueName="[Table11]" displayFolder="" count="0" memberValueDatatype="5" unbalanced="0"/>
    <cacheHierarchy uniqueName="[Table3].[company_id]" caption="company_id" attribute="1" defaultMemberUniqueName="[Table3].[company_id].[All]" allUniqueName="[Table3].[company_id].[All]" dimensionUniqueName="[Table3]" displayFolder="" count="0" memberValueDatatype="130" unbalanced="0"/>
    <cacheHierarchy uniqueName="[Table3].[ticker]" caption="ticker" attribute="1" defaultMemberUniqueName="[Table3].[ticker].[All]" allUniqueName="[Table3].[ticker].[All]" dimensionUniqueName="[Table3]" displayFolder="" count="0" memberValueDatatype="130" unbalanced="0"/>
    <cacheHierarchy uniqueName="[Table3].[company_name]" caption="company_name" attribute="1" defaultMemberUniqueName="[Table3].[company_name].[All]" allUniqueName="[Table3].[company_name].[All]" dimensionUniqueName="[Table3]" displayFolder="" count="2" memberValueDatatype="130" unbalanced="0"/>
    <cacheHierarchy uniqueName="[Table3].[sector_id]" caption="sector_id" attribute="1" defaultMemberUniqueName="[Table3].[sector_id].[All]" allUniqueName="[Table3].[sector_id].[All]" dimensionUniqueName="[Table3]" displayFolder="" count="0" memberValueDatatype="130" unbalanced="0"/>
    <cacheHierarchy uniqueName="[Table3].[exchange_id]" caption="exchange_id" attribute="1" defaultMemberUniqueName="[Table3].[exchange_id].[All]" allUniqueName="[Table3].[exchange_id].[All]" dimensionUniqueName="[Table3]" displayFolder="" count="0" memberValueDatatype="130" unbalanced="0"/>
    <cacheHierarchy uniqueName="[Table7].[date]" caption="date" attribute="1" time="1" defaultMemberUniqueName="[Table7].[date].[All]" allUniqueName="[Table7].[date].[All]" dimensionUniqueName="[Table7]" displayFolder="" count="0" memberValueDatatype="7" unbalanced="0"/>
    <cacheHierarchy uniqueName="[Table7].[company_id]" caption="company_id" attribute="1" defaultMemberUniqueName="[Table7].[company_id].[All]" allUniqueName="[Table7].[company_id].[All]" dimensionUniqueName="[Table7]" displayFolder="" count="0" memberValueDatatype="130" unbalanced="0"/>
    <cacheHierarchy uniqueName="[Table7].[open]" caption="open" attribute="1" defaultMemberUniqueName="[Table7].[open].[All]" allUniqueName="[Table7].[open].[All]" dimensionUniqueName="[Table7]" displayFolder="" count="0" memberValueDatatype="5" unbalanced="0"/>
    <cacheHierarchy uniqueName="[Table7].[high]" caption="high" attribute="1" defaultMemberUniqueName="[Table7].[high].[All]" allUniqueName="[Table7].[high].[All]" dimensionUniqueName="[Table7]" displayFolder="" count="0" memberValueDatatype="5" unbalanced="0"/>
    <cacheHierarchy uniqueName="[Table7].[low]" caption="low" attribute="1" defaultMemberUniqueName="[Table7].[low].[All]" allUniqueName="[Table7].[low].[All]" dimensionUniqueName="[Table7]" displayFolder="" count="0" memberValueDatatype="5" unbalanced="0"/>
    <cacheHierarchy uniqueName="[Table7].[close]" caption="close" attribute="1" defaultMemberUniqueName="[Table7].[close].[All]" allUniqueName="[Table7].[close].[All]" dimensionUniqueName="[Table7]" displayFolder="" count="0" memberValueDatatype="5" unbalanced="0"/>
    <cacheHierarchy uniqueName="[Table7].[volume]" caption="volume" attribute="1" defaultMemberUniqueName="[Table7].[volume].[All]" allUniqueName="[Table7].[volume].[All]" dimensionUniqueName="[Table7]" displayFolder="" count="0" memberValueDatatype="20" unbalanced="0"/>
    <cacheHierarchy uniqueName="[Table7].[Daily Return]" caption="Daily Return" attribute="1" defaultMemberUniqueName="[Table7].[Daily Return].[All]" allUniqueName="[Table7].[Daily Return].[All]" dimensionUniqueName="[Table7]" displayFolder="" count="0" memberValueDatatype="5" unbalanced="0"/>
    <cacheHierarchy uniqueName="[Measures].[Sum of volume]" caption="Sum of volume" measure="1" displayFolder="" measureGroup="Table7" count="0">
      <extLst>
        <ext xmlns:x15="http://schemas.microsoft.com/office/spreadsheetml/2010/11/main" uri="{B97F6D7D-B522-45F9-BDA1-12C45D357490}">
          <x15:cacheHierarchy aggregatedColumn="24"/>
        </ext>
      </extLst>
    </cacheHierarchy>
    <cacheHierarchy uniqueName="[Measures].[Average of volume]" caption="Average of volume" measure="1" displayFolder="" measureGroup="Table7" count="0">
      <extLst>
        <ext xmlns:x15="http://schemas.microsoft.com/office/spreadsheetml/2010/11/main" uri="{B97F6D7D-B522-45F9-BDA1-12C45D357490}">
          <x15:cacheHierarchy aggregatedColumn="24"/>
        </ext>
      </extLst>
    </cacheHierarchy>
    <cacheHierarchy uniqueName="[Measures].[Sum of high]" caption="Sum of high" measure="1" displayFolder="" measureGroup="Table7" count="0">
      <extLst>
        <ext xmlns:x15="http://schemas.microsoft.com/office/spreadsheetml/2010/11/main" uri="{B97F6D7D-B522-45F9-BDA1-12C45D357490}">
          <x15:cacheHierarchy aggregatedColumn="21"/>
        </ext>
      </extLst>
    </cacheHierarchy>
    <cacheHierarchy uniqueName="[Measures].[Sum of low]" caption="Sum of low" measure="1" displayFolder="" measureGroup="Table7" count="0">
      <extLst>
        <ext xmlns:x15="http://schemas.microsoft.com/office/spreadsheetml/2010/11/main" uri="{B97F6D7D-B522-45F9-BDA1-12C45D357490}">
          <x15:cacheHierarchy aggregatedColumn="22"/>
        </ext>
      </extLst>
    </cacheHierarchy>
    <cacheHierarchy uniqueName="[Measures].[Max of high]" caption="Max of high" measure="1" displayFolder="" measureGroup="Table7" count="0">
      <extLst>
        <ext xmlns:x15="http://schemas.microsoft.com/office/spreadsheetml/2010/11/main" uri="{B97F6D7D-B522-45F9-BDA1-12C45D357490}">
          <x15:cacheHierarchy aggregatedColumn="21"/>
        </ext>
      </extLst>
    </cacheHierarchy>
    <cacheHierarchy uniqueName="[Measures].[Min of low]" caption="Min of low" measure="1" displayFolder="" measureGroup="Table7" count="0">
      <extLst>
        <ext xmlns:x15="http://schemas.microsoft.com/office/spreadsheetml/2010/11/main" uri="{B97F6D7D-B522-45F9-BDA1-12C45D357490}">
          <x15:cacheHierarchy aggregatedColumn="22"/>
        </ext>
      </extLst>
    </cacheHierarchy>
    <cacheHierarchy uniqueName="[Measures].[Sum of Avg Trade Value]" caption="Sum of Avg Trade Value" measure="1" displayFolder="" measureGroup="Table11" count="0">
      <extLst>
        <ext xmlns:x15="http://schemas.microsoft.com/office/spreadsheetml/2010/11/main" uri="{B97F6D7D-B522-45F9-BDA1-12C45D357490}">
          <x15:cacheHierarchy aggregatedColumn="12"/>
        </ext>
      </extLst>
    </cacheHierarchy>
    <cacheHierarchy uniqueName="[Measures].[Max of Avg Trade Value]" caption="Max of Avg Trade Value" measure="1" displayFolder="" measureGroup="Table11" count="0">
      <extLst>
        <ext xmlns:x15="http://schemas.microsoft.com/office/spreadsheetml/2010/11/main" uri="{B97F6D7D-B522-45F9-BDA1-12C45D357490}">
          <x15:cacheHierarchy aggregatedColumn="12"/>
        </ext>
      </extLst>
    </cacheHierarchy>
    <cacheHierarchy uniqueName="[Measures].[Count of side]" caption="Count of side" measure="1" displayFolder="" measureGroup="Table11" count="0">
      <extLst>
        <ext xmlns:x15="http://schemas.microsoft.com/office/spreadsheetml/2010/11/main" uri="{B97F6D7D-B522-45F9-BDA1-12C45D357490}">
          <x15:cacheHierarchy aggregatedColumn="4"/>
        </ext>
      </extLst>
    </cacheHierarchy>
    <cacheHierarchy uniqueName="[Measures].[Sum of quantity]" caption="Sum of quantity" measure="1" displayFolder="" measureGroup="Table11" count="0">
      <extLst>
        <ext xmlns:x15="http://schemas.microsoft.com/office/spreadsheetml/2010/11/main" uri="{B97F6D7D-B522-45F9-BDA1-12C45D357490}">
          <x15:cacheHierarchy aggregatedColumn="5"/>
        </ext>
      </extLst>
    </cacheHierarchy>
    <cacheHierarchy uniqueName="[Measures].[Sum of Daily Return]" caption="Sum of Daily Return" measure="1" displayFolder="" measureGroup="Table7" count="0">
      <extLst>
        <ext xmlns:x15="http://schemas.microsoft.com/office/spreadsheetml/2010/11/main" uri="{B97F6D7D-B522-45F9-BDA1-12C45D357490}">
          <x15:cacheHierarchy aggregatedColumn="25"/>
        </ext>
      </extLst>
    </cacheHierarchy>
    <cacheHierarchy uniqueName="[Measures].[Average of Daily Return]" caption="Average of Daily Return" measure="1" displayFolder="" measureGroup="Table7" count="0">
      <extLst>
        <ext xmlns:x15="http://schemas.microsoft.com/office/spreadsheetml/2010/11/main" uri="{B97F6D7D-B522-45F9-BDA1-12C45D357490}">
          <x15:cacheHierarchy aggregatedColumn="25"/>
        </ext>
      </extLst>
    </cacheHierarchy>
    <cacheHierarchy uniqueName="[Measures].[Sum of fees]" caption="Sum of fees" measure="1" displayFolder="" measureGroup="Table11" count="0">
      <extLst>
        <ext xmlns:x15="http://schemas.microsoft.com/office/spreadsheetml/2010/11/main" uri="{B97F6D7D-B522-45F9-BDA1-12C45D357490}">
          <x15:cacheHierarchy aggregatedColumn="7"/>
        </ext>
      </extLst>
    </cacheHierarchy>
    <cacheHierarchy uniqueName="[Measures].[Average of Avg Trade Value]" caption="Average of Avg Trade Value" measure="1" displayFolder="" measureGroup="Table11" count="0">
      <extLst>
        <ext xmlns:x15="http://schemas.microsoft.com/office/spreadsheetml/2010/11/main" uri="{B97F6D7D-B522-45F9-BDA1-12C45D357490}">
          <x15:cacheHierarchy aggregatedColumn="12"/>
        </ext>
      </extLst>
    </cacheHierarchy>
    <cacheHierarchy uniqueName="[Measures].[Max Opening Price]" caption="Max Opening Price" measure="1" displayFolder="" measureGroup="Table7" count="0"/>
    <cacheHierarchy uniqueName="[Measures].[__XL_Count Table7]" caption="__XL_Count Table7" measure="1" displayFolder="" measureGroup="Table7" count="0" hidden="1"/>
    <cacheHierarchy uniqueName="[Measures].[__XL_Count Table3]" caption="__XL_Count Table3" measure="1" displayFolder="" measureGroup="Table3"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1871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5B72AE7-B499-476B-8E23-CB83C3152017}" name="PivotTable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24:B33"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Avg Trade Value" fld="1" subtotal="average" baseField="0" baseItem="0"/>
  </dataFields>
  <formats count="3">
    <format dxfId="17">
      <pivotArea collapsedLevelsAreSubtotals="1" fieldPosition="0">
        <references count="1">
          <reference field="0" count="0"/>
        </references>
      </pivotArea>
    </format>
    <format dxfId="16">
      <pivotArea collapsedLevelsAreSubtotals="1" fieldPosition="0">
        <references count="1">
          <reference field="0" count="0"/>
        </references>
      </pivotArea>
    </format>
    <format dxfId="15">
      <pivotArea collapsedLevelsAreSubtotals="1" fieldPosition="0">
        <references count="1">
          <reference field="0" count="0"/>
        </references>
      </pivotArea>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vg Trade Value"/>
    <pivotHierarchy dragToData="1" caption="Max of Avg Trade Value"/>
    <pivotHierarchy dragToData="1"/>
    <pivotHierarchy dragToData="1"/>
    <pivotHierarchy dragToData="1"/>
    <pivotHierarchy dragToData="1"/>
    <pivotHierarchy dragToData="1"/>
    <pivotHierarchy dragToData="1" caption="Average of Avg Trade Valu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D5BFCF-6F86-4D23-AE77-8943D186B959}"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2:C21" firstHeaderRow="0"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9">
    <i>
      <x v="2"/>
    </i>
    <i>
      <x v="5"/>
    </i>
    <i>
      <x v="3"/>
    </i>
    <i>
      <x v="7"/>
    </i>
    <i>
      <x v="6"/>
    </i>
    <i>
      <x/>
    </i>
    <i>
      <x v="1"/>
    </i>
    <i>
      <x v="4"/>
    </i>
    <i t="grand">
      <x/>
    </i>
  </rowItems>
  <colFields count="1">
    <field x="-2"/>
  </colFields>
  <colItems count="2">
    <i>
      <x/>
    </i>
    <i i="1">
      <x v="1"/>
    </i>
  </colItems>
  <dataFields count="2">
    <dataField name="Max of high" fld="1" subtotal="max" baseField="0" baseItem="0"/>
    <dataField name="Min of low" fld="2" subtotal="min" baseField="0" baseItem="0"/>
  </dataFields>
  <formats count="3">
    <format dxfId="20">
      <pivotArea collapsedLevelsAreSubtotals="1" fieldPosition="0">
        <references count="1">
          <reference field="0" count="0"/>
        </references>
      </pivotArea>
    </format>
    <format dxfId="19">
      <pivotArea collapsedLevelsAreSubtotals="1" fieldPosition="0">
        <references count="1">
          <reference field="0" count="0"/>
        </references>
      </pivotArea>
    </format>
    <format dxfId="18">
      <pivotArea collapsedLevelsAreSubtotals="1" fieldPosition="0">
        <references count="1">
          <reference field="0" count="0"/>
        </references>
      </pivotArea>
    </format>
  </formats>
  <chartFormats count="6">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Max of high"/>
    <pivotHierarchy dragToData="1" caption="Min of low"/>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9FF5CD-1C9E-459B-A014-A324EE09F145}" name="PivotTable1" cacheId="4" applyNumberFormats="0" applyBorderFormats="0" applyFontFormats="0" applyPatternFormats="0" applyAlignmentFormats="0" applyWidthHeightFormats="1" dataCaption="Values" tag="ffe395fa-a202-494b-b28e-be2ddd0e09fb" updatedVersion="8" minRefreshableVersion="3" useAutoFormatting="1" subtotalHiddenItems="1" itemPrintTitles="1" createdVersion="8" indent="0" outline="1" outlineData="1" multipleFieldFilters="0" chartFormat="8">
  <location ref="A1:B10"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volume" fld="1" subtotal="average" baseField="0" baseItem="0"/>
  </dataFields>
  <formats count="3">
    <format dxfId="23">
      <pivotArea collapsedLevelsAreSubtotals="1" fieldPosition="0">
        <references count="1">
          <reference field="0" count="0"/>
        </references>
      </pivotArea>
    </format>
    <format dxfId="22">
      <pivotArea collapsedLevelsAreSubtotals="1" fieldPosition="0">
        <references count="1">
          <reference field="0" count="0"/>
        </references>
      </pivotArea>
    </format>
    <format dxfId="21">
      <pivotArea collapsedLevelsAreSubtotals="1" fieldPosition="0">
        <references count="1">
          <reference field="0" count="0"/>
        </references>
      </pivotArea>
    </format>
  </format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volu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5A32C4-3B27-445C-9C26-E1038C0A3BD8}" name="PivotTable6" cacheId="5" applyNumberFormats="0" applyBorderFormats="0" applyFontFormats="0" applyPatternFormats="0" applyAlignmentFormats="0" applyWidthHeightFormats="1" dataCaption="Values" tag="83e07173-d084-44fe-a54d-f81c697e0bd1" updatedVersion="8" minRefreshableVersion="3" useAutoFormatting="1" subtotalHiddenItems="1" itemPrintTitles="1" createdVersion="8" indent="0" outline="1" outlineData="1" multipleFieldFilters="0" chartFormat="9">
  <location ref="F1:I11" firstHeaderRow="1" firstDataRow="2" firstDataCol="1"/>
  <pivotFields count="3">
    <pivotField axis="axisRow" allDrilled="1" subtotalTop="0" showAll="0" dataSourceSort="1" defaultSubtotal="0" defaultAttributeDrillState="1">
      <items count="8">
        <item x="0"/>
        <item x="1"/>
        <item x="2"/>
        <item x="3"/>
        <item x="4"/>
        <item x="5"/>
        <item x="6"/>
        <item x="7"/>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9">
    <i>
      <x/>
    </i>
    <i>
      <x v="1"/>
    </i>
    <i>
      <x v="2"/>
    </i>
    <i>
      <x v="3"/>
    </i>
    <i>
      <x v="4"/>
    </i>
    <i>
      <x v="5"/>
    </i>
    <i>
      <x v="6"/>
    </i>
    <i>
      <x v="7"/>
    </i>
    <i t="grand">
      <x/>
    </i>
  </rowItems>
  <colFields count="1">
    <field x="1"/>
  </colFields>
  <colItems count="3">
    <i>
      <x/>
    </i>
    <i>
      <x v="1"/>
    </i>
    <i t="grand">
      <x/>
    </i>
  </colItems>
  <dataFields count="1">
    <dataField name="Sum of quantity" fld="2" baseField="0" baseItem="0"/>
  </dataFields>
  <chartFormats count="4">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1086C8-93E6-4907-AD93-6B13FD215F23}" name="PivotTable10"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F24:G33"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name="Sum of fees" fld="0" baseField="0" baseItem="0"/>
  </dataFields>
  <chartFormats count="18">
    <chartFormat chart="9" format="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2" format="11">
      <pivotArea type="data" outline="0" fieldPosition="0">
        <references count="2">
          <reference field="4294967294" count="1" selected="0">
            <x v="0"/>
          </reference>
          <reference field="1" count="1" selected="0">
            <x v="0"/>
          </reference>
        </references>
      </pivotArea>
    </chartFormat>
    <chartFormat chart="12" format="12">
      <pivotArea type="data" outline="0" fieldPosition="0">
        <references count="2">
          <reference field="4294967294" count="1" selected="0">
            <x v="0"/>
          </reference>
          <reference field="1" count="1" selected="0">
            <x v="1"/>
          </reference>
        </references>
      </pivotArea>
    </chartFormat>
    <chartFormat chart="12" format="13">
      <pivotArea type="data" outline="0" fieldPosition="0">
        <references count="2">
          <reference field="4294967294" count="1" selected="0">
            <x v="0"/>
          </reference>
          <reference field="1" count="1" selected="0">
            <x v="2"/>
          </reference>
        </references>
      </pivotArea>
    </chartFormat>
    <chartFormat chart="12" format="14">
      <pivotArea type="data" outline="0" fieldPosition="0">
        <references count="2">
          <reference field="4294967294" count="1" selected="0">
            <x v="0"/>
          </reference>
          <reference field="1" count="1" selected="0">
            <x v="3"/>
          </reference>
        </references>
      </pivotArea>
    </chartFormat>
    <chartFormat chart="12" format="15">
      <pivotArea type="data" outline="0" fieldPosition="0">
        <references count="2">
          <reference field="4294967294" count="1" selected="0">
            <x v="0"/>
          </reference>
          <reference field="1" count="1" selected="0">
            <x v="4"/>
          </reference>
        </references>
      </pivotArea>
    </chartFormat>
    <chartFormat chart="12" format="16">
      <pivotArea type="data" outline="0" fieldPosition="0">
        <references count="2">
          <reference field="4294967294" count="1" selected="0">
            <x v="0"/>
          </reference>
          <reference field="1" count="1" selected="0">
            <x v="5"/>
          </reference>
        </references>
      </pivotArea>
    </chartFormat>
    <chartFormat chart="12" format="17">
      <pivotArea type="data" outline="0" fieldPosition="0">
        <references count="2">
          <reference field="4294967294" count="1" selected="0">
            <x v="0"/>
          </reference>
          <reference field="1" count="1" selected="0">
            <x v="6"/>
          </reference>
        </references>
      </pivotArea>
    </chartFormat>
    <chartFormat chart="12" format="18">
      <pivotArea type="data" outline="0" fieldPosition="0">
        <references count="2">
          <reference field="4294967294" count="1" selected="0">
            <x v="0"/>
          </reference>
          <reference field="1" count="1" selected="0">
            <x v="7"/>
          </reference>
        </references>
      </pivotArea>
    </chartFormat>
    <chartFormat chart="9" format="1">
      <pivotArea type="data" outline="0" fieldPosition="0">
        <references count="2">
          <reference field="4294967294" count="1" selected="0">
            <x v="0"/>
          </reference>
          <reference field="1" count="1" selected="0">
            <x v="0"/>
          </reference>
        </references>
      </pivotArea>
    </chartFormat>
    <chartFormat chart="9" format="2">
      <pivotArea type="data" outline="0" fieldPosition="0">
        <references count="2">
          <reference field="4294967294" count="1" selected="0">
            <x v="0"/>
          </reference>
          <reference field="1" count="1" selected="0">
            <x v="1"/>
          </reference>
        </references>
      </pivotArea>
    </chartFormat>
    <chartFormat chart="9" format="3">
      <pivotArea type="data" outline="0" fieldPosition="0">
        <references count="2">
          <reference field="4294967294" count="1" selected="0">
            <x v="0"/>
          </reference>
          <reference field="1" count="1" selected="0">
            <x v="2"/>
          </reference>
        </references>
      </pivotArea>
    </chartFormat>
    <chartFormat chart="9" format="4">
      <pivotArea type="data" outline="0" fieldPosition="0">
        <references count="2">
          <reference field="4294967294" count="1" selected="0">
            <x v="0"/>
          </reference>
          <reference field="1" count="1" selected="0">
            <x v="3"/>
          </reference>
        </references>
      </pivotArea>
    </chartFormat>
    <chartFormat chart="9" format="5">
      <pivotArea type="data" outline="0" fieldPosition="0">
        <references count="2">
          <reference field="4294967294" count="1" selected="0">
            <x v="0"/>
          </reference>
          <reference field="1" count="1" selected="0">
            <x v="4"/>
          </reference>
        </references>
      </pivotArea>
    </chartFormat>
    <chartFormat chart="9" format="6">
      <pivotArea type="data" outline="0" fieldPosition="0">
        <references count="2">
          <reference field="4294967294" count="1" selected="0">
            <x v="0"/>
          </reference>
          <reference field="1" count="1" selected="0">
            <x v="5"/>
          </reference>
        </references>
      </pivotArea>
    </chartFormat>
    <chartFormat chart="9" format="7">
      <pivotArea type="data" outline="0" fieldPosition="0">
        <references count="2">
          <reference field="4294967294" count="1" selected="0">
            <x v="0"/>
          </reference>
          <reference field="1" count="1" selected="0">
            <x v="6"/>
          </reference>
        </references>
      </pivotArea>
    </chartFormat>
    <chartFormat chart="9" format="8">
      <pivotArea type="data" outline="0" fieldPosition="0">
        <references count="2">
          <reference field="4294967294" count="1" selected="0">
            <x v="0"/>
          </reference>
          <reference field="1" count="1" selected="0">
            <x v="7"/>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1]"/>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B1C7A4-03D2-4D3B-A7FE-98DF766BAEB2}" name="PivotTable9" cacheId="2" applyNumberFormats="0" applyBorderFormats="0" applyFontFormats="0" applyPatternFormats="0" applyAlignmentFormats="0" applyWidthHeightFormats="1" dataCaption="Values" tag="b4c13f96-e8a5-4ca8-8f5f-35721287a21b" updatedVersion="8" minRefreshableVersion="3" useAutoFormatting="1" subtotalHiddenItems="1" itemPrintTitles="1" createdVersion="8" indent="0" outline="1" outlineData="1" multipleFieldFilters="0" chartFormat="6">
  <location ref="F13:G22" firstHeaderRow="1" firstDataRow="1" firstDataCol="1"/>
  <pivotFields count="2">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0"/>
  </rowFields>
  <rowItems count="9">
    <i>
      <x/>
    </i>
    <i>
      <x v="1"/>
    </i>
    <i>
      <x v="2"/>
    </i>
    <i>
      <x v="3"/>
    </i>
    <i>
      <x v="4"/>
    </i>
    <i>
      <x v="5"/>
    </i>
    <i>
      <x v="6"/>
    </i>
    <i>
      <x v="7"/>
    </i>
    <i t="grand">
      <x/>
    </i>
  </rowItems>
  <colItems count="1">
    <i/>
  </colItems>
  <dataFields count="1">
    <dataField name="Average of Daily Return" fld="1" subtotal="average" baseField="0" baseItem="0"/>
  </dataFields>
  <formats count="2">
    <format dxfId="25">
      <pivotArea collapsedLevelsAreSubtotals="1" fieldPosition="0">
        <references count="1">
          <reference field="0" count="0"/>
        </references>
      </pivotArea>
    </format>
    <format dxfId="24">
      <pivotArea grandRow="1" outline="0" collapsedLevelsAreSubtotals="1" fieldPosition="0"/>
    </format>
  </formats>
  <chartFormats count="18">
    <chartFormat chart="1" format="0" series="1">
      <pivotArea type="data" outline="0" fieldPosition="0">
        <references count="1">
          <reference field="429496729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0" count="1" selected="0">
            <x v="0"/>
          </reference>
        </references>
      </pivotArea>
    </chartFormat>
    <chartFormat chart="5" format="12">
      <pivotArea type="data" outline="0" fieldPosition="0">
        <references count="2">
          <reference field="4294967294" count="1" selected="0">
            <x v="0"/>
          </reference>
          <reference field="0" count="1" selected="0">
            <x v="1"/>
          </reference>
        </references>
      </pivotArea>
    </chartFormat>
    <chartFormat chart="5" format="13">
      <pivotArea type="data" outline="0" fieldPosition="0">
        <references count="2">
          <reference field="4294967294" count="1" selected="0">
            <x v="0"/>
          </reference>
          <reference field="0" count="1" selected="0">
            <x v="2"/>
          </reference>
        </references>
      </pivotArea>
    </chartFormat>
    <chartFormat chart="5" format="14">
      <pivotArea type="data" outline="0" fieldPosition="0">
        <references count="2">
          <reference field="4294967294" count="1" selected="0">
            <x v="0"/>
          </reference>
          <reference field="0" count="1" selected="0">
            <x v="3"/>
          </reference>
        </references>
      </pivotArea>
    </chartFormat>
    <chartFormat chart="5" format="15">
      <pivotArea type="data" outline="0" fieldPosition="0">
        <references count="2">
          <reference field="4294967294" count="1" selected="0">
            <x v="0"/>
          </reference>
          <reference field="0" count="1" selected="0">
            <x v="4"/>
          </reference>
        </references>
      </pivotArea>
    </chartFormat>
    <chartFormat chart="5" format="16">
      <pivotArea type="data" outline="0" fieldPosition="0">
        <references count="2">
          <reference field="4294967294" count="1" selected="0">
            <x v="0"/>
          </reference>
          <reference field="0" count="1" selected="0">
            <x v="5"/>
          </reference>
        </references>
      </pivotArea>
    </chartFormat>
    <chartFormat chart="5" format="17">
      <pivotArea type="data" outline="0" fieldPosition="0">
        <references count="2">
          <reference field="4294967294" count="1" selected="0">
            <x v="0"/>
          </reference>
          <reference field="0" count="1" selected="0">
            <x v="6"/>
          </reference>
        </references>
      </pivotArea>
    </chartFormat>
    <chartFormat chart="5" format="18">
      <pivotArea type="data" outline="0" fieldPosition="0">
        <references count="2">
          <reference field="4294967294" count="1" selected="0">
            <x v="0"/>
          </reference>
          <reference field="0" count="1" selected="0">
            <x v="7"/>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 chart="1" format="4">
      <pivotArea type="data" outline="0" fieldPosition="0">
        <references count="2">
          <reference field="4294967294" count="1" selected="0">
            <x v="0"/>
          </reference>
          <reference field="0" count="1" selected="0">
            <x v="3"/>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1" format="6">
      <pivotArea type="data" outline="0" fieldPosition="0">
        <references count="2">
          <reference field="4294967294" count="1" selected="0">
            <x v="0"/>
          </reference>
          <reference field="0" count="1" selected="0">
            <x v="5"/>
          </reference>
        </references>
      </pivotArea>
    </chartFormat>
    <chartFormat chart="1" format="7">
      <pivotArea type="data" outline="0" fieldPosition="0">
        <references count="2">
          <reference field="4294967294" count="1" selected="0">
            <x v="0"/>
          </reference>
          <reference field="0" count="1" selected="0">
            <x v="6"/>
          </reference>
        </references>
      </pivotArea>
    </chartFormat>
    <chartFormat chart="1" format="8">
      <pivotArea type="data" outline="0" fieldPosition="0">
        <references count="2">
          <reference field="4294967294" count="1" selected="0">
            <x v="0"/>
          </reference>
          <reference field="0" count="1" selected="0">
            <x v="7"/>
          </reference>
        </references>
      </pivotArea>
    </chartFormat>
  </chartFormats>
  <pivotHierarchies count="4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aily Return"/>
    <pivotHierarchy dragToData="1" caption="Average of Daily Return"/>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EFEE6D-CCE3-4119-A0DD-0A79B35C4440}" name="PivotTable1" cacheId="6" applyNumberFormats="0" applyBorderFormats="0" applyFontFormats="0" applyPatternFormats="0" applyAlignmentFormats="0" applyWidthHeightFormats="1" dataCaption="Values" tag="4035d8dc-d041-4f65-8200-42347f322dcf" updatedVersion="8" minRefreshableVersion="3" useAutoFormatting="1" itemPrintTitles="1" createdVersion="8" indent="0" outline="1" outlineData="1" multipleFieldFilters="0">
  <location ref="A1:B10"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fld="0" subtotal="count" baseField="0" baseItem="0"/>
  </dataFields>
  <pivotHierarchies count="45">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7]"/>
        <x15:activeTabTopLevelEntity name="[Table3]"/>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26548C64-150F-4FD0-AA62-B04084E6E81C}" sourceName="[Table3].[company_name]">
  <pivotTables>
    <pivotTable tabId="13" name="PivotTable1"/>
    <pivotTable tabId="13" name="PivotTable10"/>
    <pivotTable tabId="13" name="PivotTable4"/>
    <pivotTable tabId="13" name="PivotTable5"/>
    <pivotTable tabId="13" name="PivotTable6"/>
    <pivotTable tabId="13" name="PivotTable9"/>
  </pivotTables>
  <data>
    <olap pivotCacheId="2054187195">
      <levels count="2">
        <level uniqueName="[Table3].[company_name].[(All)]" sourceCaption="(All)" count="0"/>
        <level uniqueName="[Table3].[company_name].[company_name]" sourceCaption="company_name" count="8" sortOrder="ascending">
          <ranges>
            <range startItem="0">
              <i n="[Table3].[company_name].&amp;[Amazon]" c="Amazon"/>
              <i n="[Table3].[company_name].&amp;[Apple]" c="Apple"/>
              <i n="[Table3].[company_name].&amp;[HDFC Bank]" c="HDFC Bank"/>
              <i n="[Table3].[company_name].&amp;[Infosys]" c="Infosys"/>
              <i n="[Table3].[company_name].&amp;[Microsoft]" c="Microsoft"/>
              <i n="[Table3].[company_name].&amp;[Pfizer]" c="Pfizer"/>
              <i n="[Table3].[company_name].&amp;[Reliance]" c="Reliance"/>
              <i n="[Table3].[company_name].&amp;[TCS]" c="TCS"/>
            </range>
          </ranges>
        </level>
      </levels>
      <selections count="1">
        <selection n="[Table3].[company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F3D363BB-E549-4087-A5BE-7220D915BF18}" cache="Slicer_company_name" caption="Stock Name" startItem="7"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35EFCF-F0B1-4A7C-9A5D-8138F203B908}" name="Table1" displayName="Table1" ref="A1:D3" totalsRowShown="0" headerRowDxfId="44">
  <autoFilter ref="A1:D3" xr:uid="{B235EFCF-F0B1-4A7C-9A5D-8138F203B908}"/>
  <tableColumns count="4">
    <tableColumn id="1" xr3:uid="{7A1434DB-AEB7-4D2F-9044-681985DDB783}" name="exchange_id"/>
    <tableColumn id="2" xr3:uid="{65B6386F-FDE5-45F6-9AD4-A995A16CB093}" name="exchange_name"/>
    <tableColumn id="3" xr3:uid="{016FC5E3-81A8-4937-A1F0-052C68E530F7}" name="country"/>
    <tableColumn id="4" xr3:uid="{D4468528-8D84-4A0C-A6BC-F3B82CDAF1BF}" name="currency"/>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3EDA44-6831-42D7-8157-AF497EA45048}" name="Table2" displayName="Table2" ref="A1:B6" totalsRowShown="0" headerRowDxfId="43">
  <autoFilter ref="A1:B6" xr:uid="{FA3EDA44-6831-42D7-8157-AF497EA45048}"/>
  <tableColumns count="2">
    <tableColumn id="1" xr3:uid="{2131BC95-A2E7-4DEB-9584-48F725F7151E}" name="sector_id"/>
    <tableColumn id="2" xr3:uid="{8355BB6D-AC16-4385-A895-A85062E378B4}" name="sector_nam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A844CA-19AE-459E-A043-92AEE510271C}" name="Table3" displayName="Table3" ref="A1:E9" totalsRowShown="0" headerRowDxfId="42">
  <autoFilter ref="A1:E9" xr:uid="{DDA844CA-19AE-459E-A043-92AEE510271C}"/>
  <tableColumns count="5">
    <tableColumn id="1" xr3:uid="{D835C8E2-F0FE-47A1-BBAE-AB82B403FD56}" name="company_id"/>
    <tableColumn id="2" xr3:uid="{960ADB46-8EE7-4C77-9452-112CFE74C4B3}" name="ticker"/>
    <tableColumn id="3" xr3:uid="{12BBB39A-3C45-4AB5-A3AC-98B2C647C8A4}" name="company_name"/>
    <tableColumn id="4" xr3:uid="{D824C616-3E30-410A-BACF-5B2A0A3D9D3C}" name="sector_id"/>
    <tableColumn id="5" xr3:uid="{C7124B01-104E-4F6C-96C7-278F446CC775}" name="exchange_id"/>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599DD6F-6F9A-460E-99A9-0BF7A5A43EB6}" name="Table4" displayName="Table4" ref="A1:C31" totalsRowShown="0" headerRowDxfId="41">
  <autoFilter ref="A1:C31" xr:uid="{F599DD6F-6F9A-460E-99A9-0BF7A5A43EB6}"/>
  <tableColumns count="3">
    <tableColumn id="1" xr3:uid="{35EAA774-233E-47D5-8A52-EEC59EF8AFB6}" name="trader_id"/>
    <tableColumn id="2" xr3:uid="{A039D438-7874-43D2-BD86-95C864857E7E}" name="trader_name"/>
    <tableColumn id="3" xr3:uid="{F9D836A8-0085-48B5-A453-26D9E067ED3B}" name="desk"/>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ACD4583-BCFB-46E1-96B6-496DDB93A61D}" name="Table5" displayName="Table5" ref="A1:C11" totalsRowShown="0" headerRowDxfId="40">
  <autoFilter ref="A1:C11" xr:uid="{AACD4583-BCFB-46E1-96B6-496DDB93A61D}"/>
  <tableColumns count="3">
    <tableColumn id="1" xr3:uid="{3D1B823A-3F48-46A1-B552-5B40C544C666}" name="portfolio_id"/>
    <tableColumn id="2" xr3:uid="{0E520864-12BA-419C-890F-2AE20CF2932D}" name="portfolio_name"/>
    <tableColumn id="3" xr3:uid="{B8498435-0FBD-4E04-A0C6-A93048E673A0}" name="manager"/>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3218B39-C0B8-4F44-B247-69E9E55500C4}" name="Table6" displayName="Table6" ref="A1:A130" totalsRowShown="0" headerRowDxfId="39" headerRowBorderDxfId="38" tableBorderDxfId="37">
  <autoFilter ref="A1:A130" xr:uid="{33218B39-C0B8-4F44-B247-69E9E55500C4}"/>
  <tableColumns count="1">
    <tableColumn id="1" xr3:uid="{98B54240-522D-41E1-AF99-DAD85CE43E2C}" name="date" dataDxfId="36"/>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ED472DC-F723-4504-B38C-60CAA0746D91}" name="Table7" displayName="Table7" ref="A1:H1033" totalsRowShown="0" headerRowDxfId="35" dataDxfId="34">
  <autoFilter ref="A1:H1033" xr:uid="{9ED472DC-F723-4504-B38C-60CAA0746D91}"/>
  <tableColumns count="8">
    <tableColumn id="1" xr3:uid="{28B7A7DD-9F14-4617-A9CF-7E76800CACDD}" name="date" dataDxfId="33"/>
    <tableColumn id="2" xr3:uid="{57BA1059-ABB1-4801-AB8A-F6624E9D79C6}" name="company_id" dataDxfId="32"/>
    <tableColumn id="3" xr3:uid="{2E76C8BA-8DBB-4898-977E-C0BEA6F61FE0}" name="open" dataDxfId="31"/>
    <tableColumn id="4" xr3:uid="{847F6655-5D54-4D29-BF00-BE39CEB79867}" name="high" dataDxfId="30"/>
    <tableColumn id="5" xr3:uid="{6F261867-60B3-4FFF-9841-3E57BB02B168}" name="low" dataDxfId="29"/>
    <tableColumn id="6" xr3:uid="{90674F0B-895E-42C8-963D-68E826E049E6}" name="close" dataDxfId="28"/>
    <tableColumn id="7" xr3:uid="{DF7831B2-ED2E-4E67-9FA6-F9DD66363EB7}" name="volume" dataDxfId="27"/>
    <tableColumn id="8" xr3:uid="{AF40FC3A-111F-4EBB-9F02-B787F774C54F}" name="Daily Return " dataDxfId="26">
      <calculatedColumnFormula>LN(Table7[[#This Row],[close]]/F1)</calculatedColumnFormula>
    </tableColumn>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08848D8-0F50-415C-A4E7-ADB6346E9D1D}" name="Table8" displayName="Table8" ref="A1:C9" totalsRowShown="0" headerRowDxfId="14">
  <autoFilter ref="A1:C9" xr:uid="{A08848D8-0F50-415C-A4E7-ADB6346E9D1D}"/>
  <tableColumns count="3">
    <tableColumn id="1" xr3:uid="{7DD8A142-33E8-4E13-8C0E-FB3CFD458197}" name="date" dataDxfId="13"/>
    <tableColumn id="2" xr3:uid="{BFD4961E-09C9-4088-9D88-6B101A9A8D89}" name="company_id"/>
    <tableColumn id="3" xr3:uid="{BF95977F-73B9-4AE4-BD39-E8464683F588}" name="dividend_per_share"/>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599595E-2AC4-4C67-8B35-5815FFE87D57}" name="Table9" displayName="Table9" ref="A1:C6" totalsRowShown="0" headerRowDxfId="12" headerRowBorderDxfId="11" tableBorderDxfId="10">
  <autoFilter ref="A1:C6" xr:uid="{D599595E-2AC4-4C67-8B35-5815FFE87D57}"/>
  <tableColumns count="3">
    <tableColumn id="1" xr3:uid="{938C29F9-6AC8-42C8-A563-34EDB33E782D}" name="company_id"/>
    <tableColumn id="2" xr3:uid="{A0030FE3-962D-4C96-A0BE-4A431BC1F1F8}" name="date" dataDxfId="9"/>
    <tableColumn id="3" xr3:uid="{13DD2643-8F47-4CC2-A502-DBCA4E08D1D8}" name="split_ratio"/>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BD6E55E-36B2-4F22-94C4-A582DFA10BE0}" name="Table10" displayName="Table10" ref="A1:K501" totalsRowShown="0" headerRowDxfId="8">
  <autoFilter ref="A1:K501" xr:uid="{7BD6E55E-36B2-4F22-94C4-A582DFA10BE0}"/>
  <tableColumns count="11">
    <tableColumn id="1" xr3:uid="{578DC02C-4B06-4C5E-859B-EA94ADEEA81F}" name="order_id"/>
    <tableColumn id="2" xr3:uid="{ADC3DA70-4EFD-42DA-8519-E43A5F50D080}" name="order_ts" dataDxfId="7"/>
    <tableColumn id="3" xr3:uid="{0106074F-61BE-47E2-8561-095B9FBC5435}" name="company_id"/>
    <tableColumn id="4" xr3:uid="{FFBEE399-B025-4C02-8EA2-7A8E2EFA7730}" name="side"/>
    <tableColumn id="5" xr3:uid="{5711991E-A680-477E-A03D-D01F77BF0EB7}" name="quantity"/>
    <tableColumn id="6" xr3:uid="{4FF05939-A5B9-4ED4-971F-876FA1FF82FF}" name="status"/>
    <tableColumn id="7" xr3:uid="{9C3BF40D-8540-41E5-A2E0-4ACC5CFABA7C}" name="order_type"/>
    <tableColumn id="8" xr3:uid="{787925B0-E43A-44A2-BAFE-031A5919FB93}" name="limit_price"/>
    <tableColumn id="9" xr3:uid="{F53F5E4A-07F7-4670-8F2A-AEE3CDAE39E3}" name="trader_id"/>
    <tableColumn id="10" xr3:uid="{714DAD1B-ED92-4050-A8CB-7FAAD19CD2E7}" name="portfolio_id"/>
    <tableColumn id="11" xr3:uid="{911649CA-B139-4560-94D1-225B5747C6C2}" name="date" dataDxfId="6"/>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9F0CEB6-4CF8-4BA8-90A6-DA0BFB491AC6}" name="Table11" displayName="Table11" ref="A1:M501" totalsRowShown="0" headerRowDxfId="5">
  <autoFilter ref="A1:M501" xr:uid="{69F0CEB6-4CF8-4BA8-90A6-DA0BFB491AC6}"/>
  <tableColumns count="13">
    <tableColumn id="1" xr3:uid="{EC4B4C10-0D4C-4653-9495-8B837944C559}" name="trade_id"/>
    <tableColumn id="2" xr3:uid="{ABF6C26D-DA42-4D61-9054-62168D91348C}" name="order_id"/>
    <tableColumn id="3" xr3:uid="{42EB1D7B-6255-4A2E-B00E-BA868F673213}" name="trade_ts" dataDxfId="4"/>
    <tableColumn id="4" xr3:uid="{A8550F24-3723-4676-AE9B-976D38F1C297}" name="company_id"/>
    <tableColumn id="5" xr3:uid="{80F09F49-48B8-493E-BA1A-CB9A7C588EFE}" name="side"/>
    <tableColumn id="6" xr3:uid="{01D035D6-1680-4A28-9BF3-D7AA0DA04790}" name="quantity"/>
    <tableColumn id="7" xr3:uid="{71BBC525-0EDF-4F17-8A1D-3C80274806BB}" name="price"/>
    <tableColumn id="8" xr3:uid="{ED8CF1F0-C232-4DAF-B4C9-CAAEAC493025}" name="fees"/>
    <tableColumn id="9" xr3:uid="{F96B7347-60D9-4585-8BBA-DA26D33A85B2}" name="trader_id"/>
    <tableColumn id="10" xr3:uid="{7277681C-7240-48AD-8C74-272AAB3D9BAA}" name="portfolio_id"/>
    <tableColumn id="11" xr3:uid="{DA4FDF30-BD5C-4F09-B489-0867FF749D5E}" name="exchange_id"/>
    <tableColumn id="12" xr3:uid="{07B3BBD8-662C-4EE1-8958-3628B914422B}" name="date" dataDxfId="3"/>
    <tableColumn id="13" xr3:uid="{FF297104-EB1F-4450-A185-D8A80EE9C4FE}" name=" Trade Value" dataDxfId="2">
      <calculatedColumnFormula>Table11[[#This Row],[quantity]]*Table11[[#This Row],[price]]</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FDA0E30-88F6-40DE-85E9-E1F960FE5F15}" name="Table12" displayName="Table12" ref="A1:D11" totalsRowShown="0" headerRowDxfId="1">
  <autoFilter ref="A1:D11" xr:uid="{8FDA0E30-88F6-40DE-85E9-E1F960FE5F15}"/>
  <tableColumns count="4">
    <tableColumn id="1" xr3:uid="{22DC01AF-99C5-4C9F-808F-691A3186F985}" name="portfolio_id"/>
    <tableColumn id="2" xr3:uid="{8EE52AA7-5EBB-4C35-B1EB-674DC3FC9583}" name="company_id"/>
    <tableColumn id="3" xr3:uid="{D4E35CD3-3FED-44B2-BCD4-B96A9DA21D6A}" name="date" dataDxfId="0"/>
    <tableColumn id="4" xr3:uid="{04AFEF72-B8F4-4A10-871D-97768C8C1D4B}" name="quantit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
  <sheetViews>
    <sheetView workbookViewId="0">
      <selection sqref="A1:D3"/>
    </sheetView>
  </sheetViews>
  <sheetFormatPr defaultRowHeight="14.4" x14ac:dyDescent="0.3"/>
  <cols>
    <col min="1" max="1" width="13.44140625" customWidth="1"/>
    <col min="2" max="2" width="16.6640625" customWidth="1"/>
    <col min="3" max="3" width="9.44140625" customWidth="1"/>
    <col min="4" max="4" width="10.21875" customWidth="1"/>
  </cols>
  <sheetData>
    <row r="1" spans="1:4" x14ac:dyDescent="0.3">
      <c r="A1" s="2" t="s">
        <v>0</v>
      </c>
      <c r="B1" s="2" t="s">
        <v>1</v>
      </c>
      <c r="C1" s="2" t="s">
        <v>2</v>
      </c>
      <c r="D1" s="2" t="s">
        <v>3</v>
      </c>
    </row>
    <row r="2" spans="1:4" x14ac:dyDescent="0.3">
      <c r="A2" t="s">
        <v>4</v>
      </c>
      <c r="B2" t="s">
        <v>5</v>
      </c>
      <c r="C2" t="s">
        <v>6</v>
      </c>
      <c r="D2" t="s">
        <v>7</v>
      </c>
    </row>
    <row r="3" spans="1:4" x14ac:dyDescent="0.3">
      <c r="A3" t="s">
        <v>8</v>
      </c>
      <c r="B3" t="s">
        <v>9</v>
      </c>
      <c r="C3" t="s">
        <v>10</v>
      </c>
      <c r="D3" t="s">
        <v>11</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orkbookViewId="0">
      <selection sqref="A1:B6"/>
    </sheetView>
  </sheetViews>
  <sheetFormatPr defaultRowHeight="14.4" x14ac:dyDescent="0.3"/>
  <cols>
    <col min="1" max="1" width="10.5546875" customWidth="1"/>
    <col min="2" max="2" width="22.5546875" bestFit="1" customWidth="1"/>
  </cols>
  <sheetData>
    <row r="1" spans="1:2" x14ac:dyDescent="0.3">
      <c r="A1" s="2" t="s">
        <v>12</v>
      </c>
      <c r="B1" s="2" t="s">
        <v>13</v>
      </c>
    </row>
    <row r="2" spans="1:2" x14ac:dyDescent="0.3">
      <c r="A2" t="s">
        <v>14</v>
      </c>
      <c r="B2" t="s">
        <v>15</v>
      </c>
    </row>
    <row r="3" spans="1:2" x14ac:dyDescent="0.3">
      <c r="A3" t="s">
        <v>16</v>
      </c>
      <c r="B3" t="s">
        <v>17</v>
      </c>
    </row>
    <row r="4" spans="1:2" x14ac:dyDescent="0.3">
      <c r="A4" t="s">
        <v>18</v>
      </c>
      <c r="B4" t="s">
        <v>19</v>
      </c>
    </row>
    <row r="5" spans="1:2" x14ac:dyDescent="0.3">
      <c r="A5" t="s">
        <v>20</v>
      </c>
      <c r="B5" t="s">
        <v>21</v>
      </c>
    </row>
    <row r="6" spans="1:2" x14ac:dyDescent="0.3">
      <c r="A6" t="s">
        <v>22</v>
      </c>
      <c r="B6" t="s">
        <v>23</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selection activeCell="C15" sqref="C15"/>
    </sheetView>
  </sheetViews>
  <sheetFormatPr defaultRowHeight="14.4" x14ac:dyDescent="0.3"/>
  <cols>
    <col min="1" max="1" width="13.33203125" customWidth="1"/>
    <col min="2" max="2" width="10.6640625" bestFit="1" customWidth="1"/>
    <col min="3" max="3" width="24" bestFit="1" customWidth="1"/>
    <col min="4" max="4" width="10.5546875" customWidth="1"/>
    <col min="5" max="5" width="13.44140625" customWidth="1"/>
  </cols>
  <sheetData>
    <row r="1" spans="1:5" x14ac:dyDescent="0.3">
      <c r="A1" s="2" t="s">
        <v>24</v>
      </c>
      <c r="B1" s="2" t="s">
        <v>25</v>
      </c>
      <c r="C1" s="2" t="s">
        <v>26</v>
      </c>
      <c r="D1" s="2" t="s">
        <v>12</v>
      </c>
      <c r="E1" s="2" t="s">
        <v>0</v>
      </c>
    </row>
    <row r="2" spans="1:5" x14ac:dyDescent="0.3">
      <c r="A2" t="s">
        <v>27</v>
      </c>
      <c r="B2" t="s">
        <v>28</v>
      </c>
      <c r="C2" t="s">
        <v>28</v>
      </c>
      <c r="D2" t="s">
        <v>14</v>
      </c>
      <c r="E2" t="s">
        <v>4</v>
      </c>
    </row>
    <row r="3" spans="1:5" x14ac:dyDescent="0.3">
      <c r="A3" t="s">
        <v>29</v>
      </c>
      <c r="B3" t="s">
        <v>30</v>
      </c>
      <c r="C3" t="s">
        <v>31</v>
      </c>
      <c r="D3" t="s">
        <v>14</v>
      </c>
      <c r="E3" t="s">
        <v>4</v>
      </c>
    </row>
    <row r="4" spans="1:5" x14ac:dyDescent="0.3">
      <c r="A4" t="s">
        <v>32</v>
      </c>
      <c r="B4" t="s">
        <v>33</v>
      </c>
      <c r="C4" t="s">
        <v>34</v>
      </c>
      <c r="D4" t="s">
        <v>16</v>
      </c>
      <c r="E4" t="s">
        <v>4</v>
      </c>
    </row>
    <row r="5" spans="1:5" x14ac:dyDescent="0.3">
      <c r="A5" t="s">
        <v>35</v>
      </c>
      <c r="B5" t="s">
        <v>36</v>
      </c>
      <c r="C5" t="s">
        <v>1178</v>
      </c>
      <c r="D5" t="s">
        <v>20</v>
      </c>
      <c r="E5" t="s">
        <v>4</v>
      </c>
    </row>
    <row r="6" spans="1:5" x14ac:dyDescent="0.3">
      <c r="A6" t="s">
        <v>37</v>
      </c>
      <c r="B6" t="s">
        <v>38</v>
      </c>
      <c r="C6" t="s">
        <v>1179</v>
      </c>
      <c r="D6" t="s">
        <v>14</v>
      </c>
      <c r="E6" t="s">
        <v>8</v>
      </c>
    </row>
    <row r="7" spans="1:5" x14ac:dyDescent="0.3">
      <c r="A7" t="s">
        <v>39</v>
      </c>
      <c r="B7" t="s">
        <v>40</v>
      </c>
      <c r="C7" t="s">
        <v>1180</v>
      </c>
      <c r="D7" t="s">
        <v>14</v>
      </c>
      <c r="E7" t="s">
        <v>8</v>
      </c>
    </row>
    <row r="8" spans="1:5" x14ac:dyDescent="0.3">
      <c r="A8" t="s">
        <v>41</v>
      </c>
      <c r="B8" t="s">
        <v>42</v>
      </c>
      <c r="C8" t="s">
        <v>1181</v>
      </c>
      <c r="D8" t="s">
        <v>22</v>
      </c>
      <c r="E8" t="s">
        <v>8</v>
      </c>
    </row>
    <row r="9" spans="1:5" x14ac:dyDescent="0.3">
      <c r="A9" t="s">
        <v>43</v>
      </c>
      <c r="B9" t="s">
        <v>44</v>
      </c>
      <c r="C9" t="s">
        <v>1182</v>
      </c>
      <c r="D9" t="s">
        <v>18</v>
      </c>
      <c r="E9" t="s">
        <v>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1"/>
  <sheetViews>
    <sheetView topLeftCell="A6" workbookViewId="0">
      <selection activeCell="G23" sqref="G23"/>
    </sheetView>
  </sheetViews>
  <sheetFormatPr defaultRowHeight="14.4" x14ac:dyDescent="0.3"/>
  <cols>
    <col min="1" max="1" width="10.5546875" customWidth="1"/>
    <col min="2" max="2" width="16" bestFit="1" customWidth="1"/>
    <col min="3" max="3" width="12.6640625" bestFit="1" customWidth="1"/>
  </cols>
  <sheetData>
    <row r="1" spans="1:3" x14ac:dyDescent="0.3">
      <c r="A1" s="2" t="s">
        <v>45</v>
      </c>
      <c r="B1" s="2" t="s">
        <v>46</v>
      </c>
      <c r="C1" s="2" t="s">
        <v>47</v>
      </c>
    </row>
    <row r="2" spans="1:3" x14ac:dyDescent="0.3">
      <c r="A2" t="s">
        <v>48</v>
      </c>
      <c r="B2" t="s">
        <v>49</v>
      </c>
      <c r="C2" t="s">
        <v>50</v>
      </c>
    </row>
    <row r="3" spans="1:3" x14ac:dyDescent="0.3">
      <c r="A3" t="s">
        <v>51</v>
      </c>
      <c r="B3" t="s">
        <v>52</v>
      </c>
      <c r="C3" t="s">
        <v>53</v>
      </c>
    </row>
    <row r="4" spans="1:3" x14ac:dyDescent="0.3">
      <c r="A4" t="s">
        <v>54</v>
      </c>
      <c r="B4" t="s">
        <v>55</v>
      </c>
      <c r="C4" t="s">
        <v>56</v>
      </c>
    </row>
    <row r="5" spans="1:3" x14ac:dyDescent="0.3">
      <c r="A5" t="s">
        <v>57</v>
      </c>
      <c r="B5" t="s">
        <v>58</v>
      </c>
      <c r="C5" t="s">
        <v>59</v>
      </c>
    </row>
    <row r="6" spans="1:3" x14ac:dyDescent="0.3">
      <c r="A6" t="s">
        <v>60</v>
      </c>
      <c r="B6" t="s">
        <v>61</v>
      </c>
      <c r="C6" t="s">
        <v>56</v>
      </c>
    </row>
    <row r="7" spans="1:3" x14ac:dyDescent="0.3">
      <c r="A7" t="s">
        <v>62</v>
      </c>
      <c r="B7" t="s">
        <v>63</v>
      </c>
      <c r="C7" t="s">
        <v>59</v>
      </c>
    </row>
    <row r="8" spans="1:3" x14ac:dyDescent="0.3">
      <c r="A8" t="s">
        <v>64</v>
      </c>
      <c r="B8" t="s">
        <v>65</v>
      </c>
      <c r="C8" t="s">
        <v>50</v>
      </c>
    </row>
    <row r="9" spans="1:3" x14ac:dyDescent="0.3">
      <c r="A9" t="s">
        <v>66</v>
      </c>
      <c r="B9" t="s">
        <v>67</v>
      </c>
      <c r="C9" t="s">
        <v>59</v>
      </c>
    </row>
    <row r="10" spans="1:3" x14ac:dyDescent="0.3">
      <c r="A10" t="s">
        <v>68</v>
      </c>
      <c r="B10" t="s">
        <v>69</v>
      </c>
      <c r="C10" t="s">
        <v>59</v>
      </c>
    </row>
    <row r="11" spans="1:3" x14ac:dyDescent="0.3">
      <c r="A11" t="s">
        <v>70</v>
      </c>
      <c r="B11" t="s">
        <v>71</v>
      </c>
      <c r="C11" t="s">
        <v>50</v>
      </c>
    </row>
    <row r="12" spans="1:3" x14ac:dyDescent="0.3">
      <c r="A12" t="s">
        <v>72</v>
      </c>
      <c r="B12" t="s">
        <v>73</v>
      </c>
      <c r="C12" t="s">
        <v>59</v>
      </c>
    </row>
    <row r="13" spans="1:3" x14ac:dyDescent="0.3">
      <c r="A13" t="s">
        <v>74</v>
      </c>
      <c r="B13" t="s">
        <v>75</v>
      </c>
      <c r="C13" t="s">
        <v>53</v>
      </c>
    </row>
    <row r="14" spans="1:3" x14ac:dyDescent="0.3">
      <c r="A14" t="s">
        <v>76</v>
      </c>
      <c r="B14" t="s">
        <v>77</v>
      </c>
      <c r="C14" t="s">
        <v>50</v>
      </c>
    </row>
    <row r="15" spans="1:3" x14ac:dyDescent="0.3">
      <c r="A15" t="s">
        <v>78</v>
      </c>
      <c r="B15" t="s">
        <v>79</v>
      </c>
      <c r="C15" t="s">
        <v>50</v>
      </c>
    </row>
    <row r="16" spans="1:3" x14ac:dyDescent="0.3">
      <c r="A16" t="s">
        <v>80</v>
      </c>
      <c r="B16" t="s">
        <v>81</v>
      </c>
      <c r="C16" t="s">
        <v>50</v>
      </c>
    </row>
    <row r="17" spans="1:3" x14ac:dyDescent="0.3">
      <c r="A17" t="s">
        <v>82</v>
      </c>
      <c r="B17" t="s">
        <v>83</v>
      </c>
      <c r="C17" t="s">
        <v>56</v>
      </c>
    </row>
    <row r="18" spans="1:3" x14ac:dyDescent="0.3">
      <c r="A18" t="s">
        <v>84</v>
      </c>
      <c r="B18" t="s">
        <v>85</v>
      </c>
      <c r="C18" t="s">
        <v>56</v>
      </c>
    </row>
    <row r="19" spans="1:3" x14ac:dyDescent="0.3">
      <c r="A19" t="s">
        <v>86</v>
      </c>
      <c r="B19" t="s">
        <v>87</v>
      </c>
      <c r="C19" t="s">
        <v>59</v>
      </c>
    </row>
    <row r="20" spans="1:3" x14ac:dyDescent="0.3">
      <c r="A20" t="s">
        <v>88</v>
      </c>
      <c r="B20" t="s">
        <v>89</v>
      </c>
      <c r="C20" t="s">
        <v>50</v>
      </c>
    </row>
    <row r="21" spans="1:3" x14ac:dyDescent="0.3">
      <c r="A21" t="s">
        <v>90</v>
      </c>
      <c r="B21" t="s">
        <v>91</v>
      </c>
      <c r="C21" t="s">
        <v>59</v>
      </c>
    </row>
    <row r="22" spans="1:3" x14ac:dyDescent="0.3">
      <c r="A22" t="s">
        <v>92</v>
      </c>
      <c r="B22" t="s">
        <v>93</v>
      </c>
      <c r="C22" t="s">
        <v>53</v>
      </c>
    </row>
    <row r="23" spans="1:3" x14ac:dyDescent="0.3">
      <c r="A23" t="s">
        <v>94</v>
      </c>
      <c r="B23" t="s">
        <v>95</v>
      </c>
      <c r="C23" t="s">
        <v>50</v>
      </c>
    </row>
    <row r="24" spans="1:3" x14ac:dyDescent="0.3">
      <c r="A24" t="s">
        <v>96</v>
      </c>
      <c r="B24" t="s">
        <v>97</v>
      </c>
      <c r="C24" t="s">
        <v>53</v>
      </c>
    </row>
    <row r="25" spans="1:3" x14ac:dyDescent="0.3">
      <c r="A25" t="s">
        <v>98</v>
      </c>
      <c r="B25" t="s">
        <v>99</v>
      </c>
      <c r="C25" t="s">
        <v>59</v>
      </c>
    </row>
    <row r="26" spans="1:3" x14ac:dyDescent="0.3">
      <c r="A26" t="s">
        <v>100</v>
      </c>
      <c r="B26" t="s">
        <v>101</v>
      </c>
      <c r="C26" t="s">
        <v>56</v>
      </c>
    </row>
    <row r="27" spans="1:3" x14ac:dyDescent="0.3">
      <c r="A27" t="s">
        <v>102</v>
      </c>
      <c r="B27" t="s">
        <v>103</v>
      </c>
      <c r="C27" t="s">
        <v>59</v>
      </c>
    </row>
    <row r="28" spans="1:3" x14ac:dyDescent="0.3">
      <c r="A28" t="s">
        <v>104</v>
      </c>
      <c r="B28" t="s">
        <v>105</v>
      </c>
      <c r="C28" t="s">
        <v>53</v>
      </c>
    </row>
    <row r="29" spans="1:3" x14ac:dyDescent="0.3">
      <c r="A29" t="s">
        <v>106</v>
      </c>
      <c r="B29" t="s">
        <v>107</v>
      </c>
      <c r="C29" t="s">
        <v>50</v>
      </c>
    </row>
    <row r="30" spans="1:3" x14ac:dyDescent="0.3">
      <c r="A30" t="s">
        <v>108</v>
      </c>
      <c r="B30" t="s">
        <v>109</v>
      </c>
      <c r="C30" t="s">
        <v>59</v>
      </c>
    </row>
    <row r="31" spans="1:3" x14ac:dyDescent="0.3">
      <c r="A31" t="s">
        <v>110</v>
      </c>
      <c r="B31" t="s">
        <v>111</v>
      </c>
      <c r="C31" t="s">
        <v>50</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
  <sheetViews>
    <sheetView workbookViewId="0">
      <selection sqref="A1:C11"/>
    </sheetView>
  </sheetViews>
  <sheetFormatPr defaultRowHeight="14.4" x14ac:dyDescent="0.3"/>
  <cols>
    <col min="1" max="1" width="12.77734375" customWidth="1"/>
    <col min="2" max="2" width="16" customWidth="1"/>
    <col min="3" max="3" width="16.88671875" bestFit="1" customWidth="1"/>
  </cols>
  <sheetData>
    <row r="1" spans="1:3" x14ac:dyDescent="0.3">
      <c r="A1" s="2" t="s">
        <v>112</v>
      </c>
      <c r="B1" s="2" t="s">
        <v>113</v>
      </c>
      <c r="C1" s="2" t="s">
        <v>114</v>
      </c>
    </row>
    <row r="2" spans="1:3" x14ac:dyDescent="0.3">
      <c r="A2" t="s">
        <v>115</v>
      </c>
      <c r="B2" t="s">
        <v>116</v>
      </c>
      <c r="C2" t="s">
        <v>117</v>
      </c>
    </row>
    <row r="3" spans="1:3" x14ac:dyDescent="0.3">
      <c r="A3" t="s">
        <v>118</v>
      </c>
      <c r="B3" t="s">
        <v>119</v>
      </c>
      <c r="C3" t="s">
        <v>120</v>
      </c>
    </row>
    <row r="4" spans="1:3" x14ac:dyDescent="0.3">
      <c r="A4" t="s">
        <v>121</v>
      </c>
      <c r="B4" t="s">
        <v>122</v>
      </c>
      <c r="C4" t="s">
        <v>123</v>
      </c>
    </row>
    <row r="5" spans="1:3" x14ac:dyDescent="0.3">
      <c r="A5" t="s">
        <v>124</v>
      </c>
      <c r="B5" t="s">
        <v>125</v>
      </c>
      <c r="C5" t="s">
        <v>126</v>
      </c>
    </row>
    <row r="6" spans="1:3" x14ac:dyDescent="0.3">
      <c r="A6" t="s">
        <v>127</v>
      </c>
      <c r="B6" t="s">
        <v>128</v>
      </c>
      <c r="C6" t="s">
        <v>129</v>
      </c>
    </row>
    <row r="7" spans="1:3" x14ac:dyDescent="0.3">
      <c r="A7" t="s">
        <v>130</v>
      </c>
      <c r="B7" t="s">
        <v>131</v>
      </c>
      <c r="C7" t="s">
        <v>132</v>
      </c>
    </row>
    <row r="8" spans="1:3" x14ac:dyDescent="0.3">
      <c r="A8" t="s">
        <v>133</v>
      </c>
      <c r="B8" t="s">
        <v>134</v>
      </c>
      <c r="C8" t="s">
        <v>135</v>
      </c>
    </row>
    <row r="9" spans="1:3" x14ac:dyDescent="0.3">
      <c r="A9" t="s">
        <v>136</v>
      </c>
      <c r="B9" t="s">
        <v>137</v>
      </c>
      <c r="C9" t="s">
        <v>138</v>
      </c>
    </row>
    <row r="10" spans="1:3" x14ac:dyDescent="0.3">
      <c r="A10" t="s">
        <v>139</v>
      </c>
      <c r="B10" t="s">
        <v>140</v>
      </c>
      <c r="C10" t="s">
        <v>141</v>
      </c>
    </row>
    <row r="11" spans="1:3" x14ac:dyDescent="0.3">
      <c r="A11" t="s">
        <v>142</v>
      </c>
      <c r="B11" t="s">
        <v>143</v>
      </c>
      <c r="C11" t="s">
        <v>144</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30"/>
  <sheetViews>
    <sheetView workbookViewId="0">
      <selection sqref="A1:A130"/>
    </sheetView>
  </sheetViews>
  <sheetFormatPr defaultRowHeight="14.4" x14ac:dyDescent="0.3"/>
  <cols>
    <col min="1" max="1" width="18.33203125" bestFit="1" customWidth="1"/>
  </cols>
  <sheetData>
    <row r="1" spans="1:1" x14ac:dyDescent="0.3">
      <c r="A1" s="3" t="s">
        <v>145</v>
      </c>
    </row>
    <row r="2" spans="1:1" x14ac:dyDescent="0.3">
      <c r="A2" s="1">
        <v>45658</v>
      </c>
    </row>
    <row r="3" spans="1:1" x14ac:dyDescent="0.3">
      <c r="A3" s="1">
        <v>45659</v>
      </c>
    </row>
    <row r="4" spans="1:1" x14ac:dyDescent="0.3">
      <c r="A4" s="1">
        <v>45660</v>
      </c>
    </row>
    <row r="5" spans="1:1" x14ac:dyDescent="0.3">
      <c r="A5" s="1">
        <v>45663</v>
      </c>
    </row>
    <row r="6" spans="1:1" x14ac:dyDescent="0.3">
      <c r="A6" s="1">
        <v>45664</v>
      </c>
    </row>
    <row r="7" spans="1:1" x14ac:dyDescent="0.3">
      <c r="A7" s="1">
        <v>45665</v>
      </c>
    </row>
    <row r="8" spans="1:1" x14ac:dyDescent="0.3">
      <c r="A8" s="1">
        <v>45666</v>
      </c>
    </row>
    <row r="9" spans="1:1" x14ac:dyDescent="0.3">
      <c r="A9" s="1">
        <v>45667</v>
      </c>
    </row>
    <row r="10" spans="1:1" x14ac:dyDescent="0.3">
      <c r="A10" s="1">
        <v>45670</v>
      </c>
    </row>
    <row r="11" spans="1:1" x14ac:dyDescent="0.3">
      <c r="A11" s="1">
        <v>45671</v>
      </c>
    </row>
    <row r="12" spans="1:1" x14ac:dyDescent="0.3">
      <c r="A12" s="1">
        <v>45672</v>
      </c>
    </row>
    <row r="13" spans="1:1" x14ac:dyDescent="0.3">
      <c r="A13" s="1">
        <v>45673</v>
      </c>
    </row>
    <row r="14" spans="1:1" x14ac:dyDescent="0.3">
      <c r="A14" s="1">
        <v>45674</v>
      </c>
    </row>
    <row r="15" spans="1:1" x14ac:dyDescent="0.3">
      <c r="A15" s="1">
        <v>45677</v>
      </c>
    </row>
    <row r="16" spans="1:1" x14ac:dyDescent="0.3">
      <c r="A16" s="1">
        <v>45678</v>
      </c>
    </row>
    <row r="17" spans="1:1" x14ac:dyDescent="0.3">
      <c r="A17" s="1">
        <v>45679</v>
      </c>
    </row>
    <row r="18" spans="1:1" x14ac:dyDescent="0.3">
      <c r="A18" s="1">
        <v>45680</v>
      </c>
    </row>
    <row r="19" spans="1:1" x14ac:dyDescent="0.3">
      <c r="A19" s="1">
        <v>45681</v>
      </c>
    </row>
    <row r="20" spans="1:1" x14ac:dyDescent="0.3">
      <c r="A20" s="1">
        <v>45684</v>
      </c>
    </row>
    <row r="21" spans="1:1" x14ac:dyDescent="0.3">
      <c r="A21" s="1">
        <v>45685</v>
      </c>
    </row>
    <row r="22" spans="1:1" x14ac:dyDescent="0.3">
      <c r="A22" s="1">
        <v>45686</v>
      </c>
    </row>
    <row r="23" spans="1:1" x14ac:dyDescent="0.3">
      <c r="A23" s="1">
        <v>45687</v>
      </c>
    </row>
    <row r="24" spans="1:1" x14ac:dyDescent="0.3">
      <c r="A24" s="1">
        <v>45688</v>
      </c>
    </row>
    <row r="25" spans="1:1" x14ac:dyDescent="0.3">
      <c r="A25" s="1">
        <v>45691</v>
      </c>
    </row>
    <row r="26" spans="1:1" x14ac:dyDescent="0.3">
      <c r="A26" s="1">
        <v>45692</v>
      </c>
    </row>
    <row r="27" spans="1:1" x14ac:dyDescent="0.3">
      <c r="A27" s="1">
        <v>45693</v>
      </c>
    </row>
    <row r="28" spans="1:1" x14ac:dyDescent="0.3">
      <c r="A28" s="1">
        <v>45694</v>
      </c>
    </row>
    <row r="29" spans="1:1" x14ac:dyDescent="0.3">
      <c r="A29" s="1">
        <v>45695</v>
      </c>
    </row>
    <row r="30" spans="1:1" x14ac:dyDescent="0.3">
      <c r="A30" s="1">
        <v>45698</v>
      </c>
    </row>
    <row r="31" spans="1:1" x14ac:dyDescent="0.3">
      <c r="A31" s="1">
        <v>45699</v>
      </c>
    </row>
    <row r="32" spans="1:1" x14ac:dyDescent="0.3">
      <c r="A32" s="1">
        <v>45700</v>
      </c>
    </row>
    <row r="33" spans="1:1" x14ac:dyDescent="0.3">
      <c r="A33" s="1">
        <v>45701</v>
      </c>
    </row>
    <row r="34" spans="1:1" x14ac:dyDescent="0.3">
      <c r="A34" s="1">
        <v>45702</v>
      </c>
    </row>
    <row r="35" spans="1:1" x14ac:dyDescent="0.3">
      <c r="A35" s="1">
        <v>45705</v>
      </c>
    </row>
    <row r="36" spans="1:1" x14ac:dyDescent="0.3">
      <c r="A36" s="1">
        <v>45706</v>
      </c>
    </row>
    <row r="37" spans="1:1" x14ac:dyDescent="0.3">
      <c r="A37" s="1">
        <v>45707</v>
      </c>
    </row>
    <row r="38" spans="1:1" x14ac:dyDescent="0.3">
      <c r="A38" s="1">
        <v>45708</v>
      </c>
    </row>
    <row r="39" spans="1:1" x14ac:dyDescent="0.3">
      <c r="A39" s="1">
        <v>45709</v>
      </c>
    </row>
    <row r="40" spans="1:1" x14ac:dyDescent="0.3">
      <c r="A40" s="1">
        <v>45712</v>
      </c>
    </row>
    <row r="41" spans="1:1" x14ac:dyDescent="0.3">
      <c r="A41" s="1">
        <v>45713</v>
      </c>
    </row>
    <row r="42" spans="1:1" x14ac:dyDescent="0.3">
      <c r="A42" s="1">
        <v>45714</v>
      </c>
    </row>
    <row r="43" spans="1:1" x14ac:dyDescent="0.3">
      <c r="A43" s="1">
        <v>45715</v>
      </c>
    </row>
    <row r="44" spans="1:1" x14ac:dyDescent="0.3">
      <c r="A44" s="1">
        <v>45716</v>
      </c>
    </row>
    <row r="45" spans="1:1" x14ac:dyDescent="0.3">
      <c r="A45" s="1">
        <v>45719</v>
      </c>
    </row>
    <row r="46" spans="1:1" x14ac:dyDescent="0.3">
      <c r="A46" s="1">
        <v>45720</v>
      </c>
    </row>
    <row r="47" spans="1:1" x14ac:dyDescent="0.3">
      <c r="A47" s="1">
        <v>45721</v>
      </c>
    </row>
    <row r="48" spans="1:1" x14ac:dyDescent="0.3">
      <c r="A48" s="1">
        <v>45722</v>
      </c>
    </row>
    <row r="49" spans="1:1" x14ac:dyDescent="0.3">
      <c r="A49" s="1">
        <v>45723</v>
      </c>
    </row>
    <row r="50" spans="1:1" x14ac:dyDescent="0.3">
      <c r="A50" s="1">
        <v>45726</v>
      </c>
    </row>
    <row r="51" spans="1:1" x14ac:dyDescent="0.3">
      <c r="A51" s="1">
        <v>45727</v>
      </c>
    </row>
    <row r="52" spans="1:1" x14ac:dyDescent="0.3">
      <c r="A52" s="1">
        <v>45728</v>
      </c>
    </row>
    <row r="53" spans="1:1" x14ac:dyDescent="0.3">
      <c r="A53" s="1">
        <v>45729</v>
      </c>
    </row>
    <row r="54" spans="1:1" x14ac:dyDescent="0.3">
      <c r="A54" s="1">
        <v>45730</v>
      </c>
    </row>
    <row r="55" spans="1:1" x14ac:dyDescent="0.3">
      <c r="A55" s="1">
        <v>45733</v>
      </c>
    </row>
    <row r="56" spans="1:1" x14ac:dyDescent="0.3">
      <c r="A56" s="1">
        <v>45734</v>
      </c>
    </row>
    <row r="57" spans="1:1" x14ac:dyDescent="0.3">
      <c r="A57" s="1">
        <v>45735</v>
      </c>
    </row>
    <row r="58" spans="1:1" x14ac:dyDescent="0.3">
      <c r="A58" s="1">
        <v>45736</v>
      </c>
    </row>
    <row r="59" spans="1:1" x14ac:dyDescent="0.3">
      <c r="A59" s="1">
        <v>45737</v>
      </c>
    </row>
    <row r="60" spans="1:1" x14ac:dyDescent="0.3">
      <c r="A60" s="1">
        <v>45740</v>
      </c>
    </row>
    <row r="61" spans="1:1" x14ac:dyDescent="0.3">
      <c r="A61" s="1">
        <v>45741</v>
      </c>
    </row>
    <row r="62" spans="1:1" x14ac:dyDescent="0.3">
      <c r="A62" s="1">
        <v>45742</v>
      </c>
    </row>
    <row r="63" spans="1:1" x14ac:dyDescent="0.3">
      <c r="A63" s="1">
        <v>45743</v>
      </c>
    </row>
    <row r="64" spans="1:1" x14ac:dyDescent="0.3">
      <c r="A64" s="1">
        <v>45744</v>
      </c>
    </row>
    <row r="65" spans="1:1" x14ac:dyDescent="0.3">
      <c r="A65" s="1">
        <v>45747</v>
      </c>
    </row>
    <row r="66" spans="1:1" x14ac:dyDescent="0.3">
      <c r="A66" s="1">
        <v>45748</v>
      </c>
    </row>
    <row r="67" spans="1:1" x14ac:dyDescent="0.3">
      <c r="A67" s="1">
        <v>45749</v>
      </c>
    </row>
    <row r="68" spans="1:1" x14ac:dyDescent="0.3">
      <c r="A68" s="1">
        <v>45750</v>
      </c>
    </row>
    <row r="69" spans="1:1" x14ac:dyDescent="0.3">
      <c r="A69" s="1">
        <v>45751</v>
      </c>
    </row>
    <row r="70" spans="1:1" x14ac:dyDescent="0.3">
      <c r="A70" s="1">
        <v>45754</v>
      </c>
    </row>
    <row r="71" spans="1:1" x14ac:dyDescent="0.3">
      <c r="A71" s="1">
        <v>45755</v>
      </c>
    </row>
    <row r="72" spans="1:1" x14ac:dyDescent="0.3">
      <c r="A72" s="1">
        <v>45756</v>
      </c>
    </row>
    <row r="73" spans="1:1" x14ac:dyDescent="0.3">
      <c r="A73" s="1">
        <v>45757</v>
      </c>
    </row>
    <row r="74" spans="1:1" x14ac:dyDescent="0.3">
      <c r="A74" s="1">
        <v>45758</v>
      </c>
    </row>
    <row r="75" spans="1:1" x14ac:dyDescent="0.3">
      <c r="A75" s="1">
        <v>45761</v>
      </c>
    </row>
    <row r="76" spans="1:1" x14ac:dyDescent="0.3">
      <c r="A76" s="1">
        <v>45762</v>
      </c>
    </row>
    <row r="77" spans="1:1" x14ac:dyDescent="0.3">
      <c r="A77" s="1">
        <v>45763</v>
      </c>
    </row>
    <row r="78" spans="1:1" x14ac:dyDescent="0.3">
      <c r="A78" s="1">
        <v>45764</v>
      </c>
    </row>
    <row r="79" spans="1:1" x14ac:dyDescent="0.3">
      <c r="A79" s="1">
        <v>45765</v>
      </c>
    </row>
    <row r="80" spans="1:1" x14ac:dyDescent="0.3">
      <c r="A80" s="1">
        <v>45768</v>
      </c>
    </row>
    <row r="81" spans="1:1" x14ac:dyDescent="0.3">
      <c r="A81" s="1">
        <v>45769</v>
      </c>
    </row>
    <row r="82" spans="1:1" x14ac:dyDescent="0.3">
      <c r="A82" s="1">
        <v>45770</v>
      </c>
    </row>
    <row r="83" spans="1:1" x14ac:dyDescent="0.3">
      <c r="A83" s="1">
        <v>45771</v>
      </c>
    </row>
    <row r="84" spans="1:1" x14ac:dyDescent="0.3">
      <c r="A84" s="1">
        <v>45772</v>
      </c>
    </row>
    <row r="85" spans="1:1" x14ac:dyDescent="0.3">
      <c r="A85" s="1">
        <v>45775</v>
      </c>
    </row>
    <row r="86" spans="1:1" x14ac:dyDescent="0.3">
      <c r="A86" s="1">
        <v>45776</v>
      </c>
    </row>
    <row r="87" spans="1:1" x14ac:dyDescent="0.3">
      <c r="A87" s="1">
        <v>45777</v>
      </c>
    </row>
    <row r="88" spans="1:1" x14ac:dyDescent="0.3">
      <c r="A88" s="1">
        <v>45778</v>
      </c>
    </row>
    <row r="89" spans="1:1" x14ac:dyDescent="0.3">
      <c r="A89" s="1">
        <v>45779</v>
      </c>
    </row>
    <row r="90" spans="1:1" x14ac:dyDescent="0.3">
      <c r="A90" s="1">
        <v>45782</v>
      </c>
    </row>
    <row r="91" spans="1:1" x14ac:dyDescent="0.3">
      <c r="A91" s="1">
        <v>45783</v>
      </c>
    </row>
    <row r="92" spans="1:1" x14ac:dyDescent="0.3">
      <c r="A92" s="1">
        <v>45784</v>
      </c>
    </row>
    <row r="93" spans="1:1" x14ac:dyDescent="0.3">
      <c r="A93" s="1">
        <v>45785</v>
      </c>
    </row>
    <row r="94" spans="1:1" x14ac:dyDescent="0.3">
      <c r="A94" s="1">
        <v>45786</v>
      </c>
    </row>
    <row r="95" spans="1:1" x14ac:dyDescent="0.3">
      <c r="A95" s="1">
        <v>45789</v>
      </c>
    </row>
    <row r="96" spans="1:1" x14ac:dyDescent="0.3">
      <c r="A96" s="1">
        <v>45790</v>
      </c>
    </row>
    <row r="97" spans="1:1" x14ac:dyDescent="0.3">
      <c r="A97" s="1">
        <v>45791</v>
      </c>
    </row>
    <row r="98" spans="1:1" x14ac:dyDescent="0.3">
      <c r="A98" s="1">
        <v>45792</v>
      </c>
    </row>
    <row r="99" spans="1:1" x14ac:dyDescent="0.3">
      <c r="A99" s="1">
        <v>45793</v>
      </c>
    </row>
    <row r="100" spans="1:1" x14ac:dyDescent="0.3">
      <c r="A100" s="1">
        <v>45796</v>
      </c>
    </row>
    <row r="101" spans="1:1" x14ac:dyDescent="0.3">
      <c r="A101" s="1">
        <v>45797</v>
      </c>
    </row>
    <row r="102" spans="1:1" x14ac:dyDescent="0.3">
      <c r="A102" s="1">
        <v>45798</v>
      </c>
    </row>
    <row r="103" spans="1:1" x14ac:dyDescent="0.3">
      <c r="A103" s="1">
        <v>45799</v>
      </c>
    </row>
    <row r="104" spans="1:1" x14ac:dyDescent="0.3">
      <c r="A104" s="1">
        <v>45800</v>
      </c>
    </row>
    <row r="105" spans="1:1" x14ac:dyDescent="0.3">
      <c r="A105" s="1">
        <v>45803</v>
      </c>
    </row>
    <row r="106" spans="1:1" x14ac:dyDescent="0.3">
      <c r="A106" s="1">
        <v>45804</v>
      </c>
    </row>
    <row r="107" spans="1:1" x14ac:dyDescent="0.3">
      <c r="A107" s="1">
        <v>45805</v>
      </c>
    </row>
    <row r="108" spans="1:1" x14ac:dyDescent="0.3">
      <c r="A108" s="1">
        <v>45806</v>
      </c>
    </row>
    <row r="109" spans="1:1" x14ac:dyDescent="0.3">
      <c r="A109" s="1">
        <v>45807</v>
      </c>
    </row>
    <row r="110" spans="1:1" x14ac:dyDescent="0.3">
      <c r="A110" s="1">
        <v>45810</v>
      </c>
    </row>
    <row r="111" spans="1:1" x14ac:dyDescent="0.3">
      <c r="A111" s="1">
        <v>45811</v>
      </c>
    </row>
    <row r="112" spans="1:1" x14ac:dyDescent="0.3">
      <c r="A112" s="1">
        <v>45812</v>
      </c>
    </row>
    <row r="113" spans="1:1" x14ac:dyDescent="0.3">
      <c r="A113" s="1">
        <v>45813</v>
      </c>
    </row>
    <row r="114" spans="1:1" x14ac:dyDescent="0.3">
      <c r="A114" s="1">
        <v>45814</v>
      </c>
    </row>
    <row r="115" spans="1:1" x14ac:dyDescent="0.3">
      <c r="A115" s="1">
        <v>45817</v>
      </c>
    </row>
    <row r="116" spans="1:1" x14ac:dyDescent="0.3">
      <c r="A116" s="1">
        <v>45818</v>
      </c>
    </row>
    <row r="117" spans="1:1" x14ac:dyDescent="0.3">
      <c r="A117" s="1">
        <v>45819</v>
      </c>
    </row>
    <row r="118" spans="1:1" x14ac:dyDescent="0.3">
      <c r="A118" s="1">
        <v>45820</v>
      </c>
    </row>
    <row r="119" spans="1:1" x14ac:dyDescent="0.3">
      <c r="A119" s="1">
        <v>45821</v>
      </c>
    </row>
    <row r="120" spans="1:1" x14ac:dyDescent="0.3">
      <c r="A120" s="1">
        <v>45824</v>
      </c>
    </row>
    <row r="121" spans="1:1" x14ac:dyDescent="0.3">
      <c r="A121" s="1">
        <v>45825</v>
      </c>
    </row>
    <row r="122" spans="1:1" x14ac:dyDescent="0.3">
      <c r="A122" s="1">
        <v>45826</v>
      </c>
    </row>
    <row r="123" spans="1:1" x14ac:dyDescent="0.3">
      <c r="A123" s="1">
        <v>45827</v>
      </c>
    </row>
    <row r="124" spans="1:1" x14ac:dyDescent="0.3">
      <c r="A124" s="1">
        <v>45828</v>
      </c>
    </row>
    <row r="125" spans="1:1" x14ac:dyDescent="0.3">
      <c r="A125" s="1">
        <v>45831</v>
      </c>
    </row>
    <row r="126" spans="1:1" x14ac:dyDescent="0.3">
      <c r="A126" s="1">
        <v>45832</v>
      </c>
    </row>
    <row r="127" spans="1:1" x14ac:dyDescent="0.3">
      <c r="A127" s="1">
        <v>45833</v>
      </c>
    </row>
    <row r="128" spans="1:1" x14ac:dyDescent="0.3">
      <c r="A128" s="1">
        <v>45834</v>
      </c>
    </row>
    <row r="129" spans="1:1" x14ac:dyDescent="0.3">
      <c r="A129" s="1">
        <v>45835</v>
      </c>
    </row>
    <row r="130" spans="1:1" x14ac:dyDescent="0.3">
      <c r="A130" s="1">
        <v>45838</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1033"/>
  <sheetViews>
    <sheetView topLeftCell="A1009" workbookViewId="0">
      <selection activeCell="J3" sqref="J3"/>
    </sheetView>
  </sheetViews>
  <sheetFormatPr defaultRowHeight="14.4" x14ac:dyDescent="0.3"/>
  <cols>
    <col min="1" max="1" width="18.33203125" style="6" bestFit="1" customWidth="1"/>
    <col min="2" max="2" width="13.33203125" style="6" customWidth="1"/>
    <col min="3" max="3" width="10.44140625" style="6" customWidth="1"/>
    <col min="4" max="4" width="11.33203125" style="6" customWidth="1"/>
    <col min="5" max="6" width="10.44140625" style="6" customWidth="1"/>
    <col min="7" max="7" width="10.6640625" style="6" customWidth="1"/>
    <col min="8" max="8" width="14.5546875" customWidth="1"/>
  </cols>
  <sheetData>
    <row r="1" spans="1:10" x14ac:dyDescent="0.3">
      <c r="A1" s="4" t="s">
        <v>145</v>
      </c>
      <c r="B1" s="4" t="s">
        <v>24</v>
      </c>
      <c r="C1" s="4" t="s">
        <v>146</v>
      </c>
      <c r="D1" s="4" t="s">
        <v>147</v>
      </c>
      <c r="E1" s="4" t="s">
        <v>148</v>
      </c>
      <c r="F1" s="4" t="s">
        <v>149</v>
      </c>
      <c r="G1" s="4" t="s">
        <v>150</v>
      </c>
      <c r="H1" s="4" t="s">
        <v>1175</v>
      </c>
    </row>
    <row r="2" spans="1:10" x14ac:dyDescent="0.3">
      <c r="A2" s="5">
        <v>45658</v>
      </c>
      <c r="B2" s="6" t="s">
        <v>27</v>
      </c>
      <c r="C2" s="6">
        <v>796.56</v>
      </c>
      <c r="D2" s="6">
        <v>800.79</v>
      </c>
      <c r="E2" s="6">
        <v>792.33</v>
      </c>
      <c r="F2" s="6">
        <v>800.53</v>
      </c>
      <c r="G2" s="6">
        <v>42106</v>
      </c>
      <c r="H2" s="6"/>
    </row>
    <row r="3" spans="1:10" x14ac:dyDescent="0.3">
      <c r="A3" s="5">
        <v>45659</v>
      </c>
      <c r="B3" s="6" t="s">
        <v>27</v>
      </c>
      <c r="C3" s="6">
        <v>805.97</v>
      </c>
      <c r="D3" s="6">
        <v>809.55</v>
      </c>
      <c r="E3" s="6">
        <v>802.39</v>
      </c>
      <c r="F3" s="6">
        <v>803.94</v>
      </c>
      <c r="G3" s="6">
        <v>9680</v>
      </c>
      <c r="H3" s="10">
        <f>(Table7[[#This Row],[close]]-F2)/F2</f>
        <v>4.2596779633493837E-3</v>
      </c>
      <c r="J3" s="15">
        <f>_xlfn.STDEV.S(H3:H1033)</f>
        <v>5.6338779703981594E-2</v>
      </c>
    </row>
    <row r="4" spans="1:10" x14ac:dyDescent="0.3">
      <c r="A4" s="5">
        <v>45660</v>
      </c>
      <c r="B4" s="6" t="s">
        <v>27</v>
      </c>
      <c r="C4" s="6">
        <v>809.42</v>
      </c>
      <c r="D4" s="6">
        <v>818.12</v>
      </c>
      <c r="E4" s="6">
        <v>800.72</v>
      </c>
      <c r="F4" s="6">
        <v>806.96</v>
      </c>
      <c r="G4" s="6">
        <v>36153</v>
      </c>
      <c r="H4" s="10">
        <f>(Table7[[#This Row],[close]]-F3)/F3</f>
        <v>3.7564992412368855E-3</v>
      </c>
    </row>
    <row r="5" spans="1:10" x14ac:dyDescent="0.3">
      <c r="A5" s="5">
        <v>45663</v>
      </c>
      <c r="B5" s="6" t="s">
        <v>27</v>
      </c>
      <c r="C5" s="6">
        <v>818.82</v>
      </c>
      <c r="D5" s="6">
        <v>831.19</v>
      </c>
      <c r="E5" s="6">
        <v>806.45</v>
      </c>
      <c r="F5" s="6">
        <v>817.5</v>
      </c>
      <c r="G5" s="6">
        <v>9120</v>
      </c>
      <c r="H5" s="10">
        <f>(Table7[[#This Row],[close]]-F4)/F4</f>
        <v>1.3061366114801184E-2</v>
      </c>
    </row>
    <row r="6" spans="1:10" x14ac:dyDescent="0.3">
      <c r="A6" s="5">
        <v>45664</v>
      </c>
      <c r="B6" s="6" t="s">
        <v>27</v>
      </c>
      <c r="C6" s="6">
        <v>805.15</v>
      </c>
      <c r="D6" s="6">
        <v>813.57</v>
      </c>
      <c r="E6" s="6">
        <v>796.72</v>
      </c>
      <c r="F6" s="6">
        <v>811.73</v>
      </c>
      <c r="G6" s="6">
        <v>21445</v>
      </c>
      <c r="H6" s="10">
        <f>(Table7[[#This Row],[close]]-F5)/F5</f>
        <v>-7.0581039755351462E-3</v>
      </c>
    </row>
    <row r="7" spans="1:10" x14ac:dyDescent="0.3">
      <c r="A7" s="5">
        <v>45665</v>
      </c>
      <c r="B7" s="6" t="s">
        <v>27</v>
      </c>
      <c r="C7" s="6">
        <v>810.34</v>
      </c>
      <c r="D7" s="6">
        <v>817.79</v>
      </c>
      <c r="E7" s="6">
        <v>802.88</v>
      </c>
      <c r="F7" s="6">
        <v>806.57</v>
      </c>
      <c r="G7" s="6">
        <v>32065</v>
      </c>
      <c r="H7" s="10">
        <f>(Table7[[#This Row],[close]]-F6)/F6</f>
        <v>-6.3567935150850262E-3</v>
      </c>
    </row>
    <row r="8" spans="1:10" x14ac:dyDescent="0.3">
      <c r="A8" s="5">
        <v>45666</v>
      </c>
      <c r="B8" s="6" t="s">
        <v>27</v>
      </c>
      <c r="C8" s="6">
        <v>804.7</v>
      </c>
      <c r="D8" s="6">
        <v>816.71</v>
      </c>
      <c r="E8" s="6">
        <v>792.7</v>
      </c>
      <c r="F8" s="6">
        <v>800.97</v>
      </c>
      <c r="G8" s="6">
        <v>46936</v>
      </c>
      <c r="H8" s="10">
        <f>(Table7[[#This Row],[close]]-F7)/F7</f>
        <v>-6.94298077042293E-3</v>
      </c>
    </row>
    <row r="9" spans="1:10" x14ac:dyDescent="0.3">
      <c r="A9" s="5">
        <v>45667</v>
      </c>
      <c r="B9" s="6" t="s">
        <v>27</v>
      </c>
      <c r="C9" s="6">
        <v>793.07</v>
      </c>
      <c r="D9" s="6">
        <v>795.72</v>
      </c>
      <c r="E9" s="6">
        <v>790.42</v>
      </c>
      <c r="F9" s="6">
        <v>791.89</v>
      </c>
      <c r="G9" s="6">
        <v>21932</v>
      </c>
      <c r="H9" s="10">
        <f>(Table7[[#This Row],[close]]-F8)/F8</f>
        <v>-1.1336254791065883E-2</v>
      </c>
    </row>
    <row r="10" spans="1:10" x14ac:dyDescent="0.3">
      <c r="A10" s="5">
        <v>45670</v>
      </c>
      <c r="B10" s="6" t="s">
        <v>27</v>
      </c>
      <c r="C10" s="6">
        <v>768.48</v>
      </c>
      <c r="D10" s="6">
        <v>780.24</v>
      </c>
      <c r="E10" s="6">
        <v>756.73</v>
      </c>
      <c r="F10" s="6">
        <v>766.43</v>
      </c>
      <c r="G10" s="6">
        <v>44016</v>
      </c>
      <c r="H10" s="10">
        <f>(Table7[[#This Row],[close]]-F9)/F9</f>
        <v>-3.2150930053416557E-2</v>
      </c>
    </row>
    <row r="11" spans="1:10" x14ac:dyDescent="0.3">
      <c r="A11" s="5">
        <v>45671</v>
      </c>
      <c r="B11" s="6" t="s">
        <v>27</v>
      </c>
      <c r="C11" s="6">
        <v>772.58</v>
      </c>
      <c r="D11" s="6">
        <v>780.18</v>
      </c>
      <c r="E11" s="6">
        <v>764.98</v>
      </c>
      <c r="F11" s="6">
        <v>775.85</v>
      </c>
      <c r="G11" s="6">
        <v>2154</v>
      </c>
      <c r="H11" s="10">
        <f>(Table7[[#This Row],[close]]-F10)/F10</f>
        <v>1.2290750623018506E-2</v>
      </c>
    </row>
    <row r="12" spans="1:10" x14ac:dyDescent="0.3">
      <c r="A12" s="5">
        <v>45672</v>
      </c>
      <c r="B12" s="6" t="s">
        <v>27</v>
      </c>
      <c r="C12" s="6">
        <v>787.6</v>
      </c>
      <c r="D12" s="6">
        <v>797.49</v>
      </c>
      <c r="E12" s="6">
        <v>777.72</v>
      </c>
      <c r="F12" s="6">
        <v>784.06</v>
      </c>
      <c r="G12" s="6">
        <v>13183</v>
      </c>
      <c r="H12" s="10">
        <f>(Table7[[#This Row],[close]]-F11)/F11</f>
        <v>1.0581942385770345E-2</v>
      </c>
    </row>
    <row r="13" spans="1:10" x14ac:dyDescent="0.3">
      <c r="A13" s="5">
        <v>45673</v>
      </c>
      <c r="B13" s="6" t="s">
        <v>27</v>
      </c>
      <c r="C13" s="6">
        <v>768.68</v>
      </c>
      <c r="D13" s="6">
        <v>782.43</v>
      </c>
      <c r="E13" s="6">
        <v>754.94</v>
      </c>
      <c r="F13" s="6">
        <v>769.33</v>
      </c>
      <c r="G13" s="6">
        <v>6539</v>
      </c>
      <c r="H13" s="10">
        <f>(Table7[[#This Row],[close]]-F12)/F12</f>
        <v>-1.8786827538708653E-2</v>
      </c>
    </row>
    <row r="14" spans="1:10" x14ac:dyDescent="0.3">
      <c r="A14" s="5">
        <v>45674</v>
      </c>
      <c r="B14" s="6" t="s">
        <v>27</v>
      </c>
      <c r="C14" s="6">
        <v>767.61</v>
      </c>
      <c r="D14" s="6">
        <v>779.13</v>
      </c>
      <c r="E14" s="6">
        <v>756.09</v>
      </c>
      <c r="F14" s="6">
        <v>765.38</v>
      </c>
      <c r="G14" s="6">
        <v>49354</v>
      </c>
      <c r="H14" s="10">
        <f>(Table7[[#This Row],[close]]-F13)/F13</f>
        <v>-5.1343376704405721E-3</v>
      </c>
    </row>
    <row r="15" spans="1:10" x14ac:dyDescent="0.3">
      <c r="A15" s="5">
        <v>45677</v>
      </c>
      <c r="B15" s="6" t="s">
        <v>27</v>
      </c>
      <c r="C15" s="6">
        <v>754.13</v>
      </c>
      <c r="D15" s="6">
        <v>764.08</v>
      </c>
      <c r="E15" s="6">
        <v>744.17</v>
      </c>
      <c r="F15" s="6">
        <v>758.43</v>
      </c>
      <c r="G15" s="6">
        <v>3200</v>
      </c>
      <c r="H15" s="10">
        <f>(Table7[[#This Row],[close]]-F14)/F14</f>
        <v>-9.0804567665735258E-3</v>
      </c>
    </row>
    <row r="16" spans="1:10" x14ac:dyDescent="0.3">
      <c r="A16" s="5">
        <v>45678</v>
      </c>
      <c r="B16" s="6" t="s">
        <v>27</v>
      </c>
      <c r="C16" s="6">
        <v>750.75</v>
      </c>
      <c r="D16" s="6">
        <v>752</v>
      </c>
      <c r="E16" s="6">
        <v>749.5</v>
      </c>
      <c r="F16" s="6">
        <v>751.92</v>
      </c>
      <c r="G16" s="6">
        <v>12969</v>
      </c>
      <c r="H16" s="10">
        <f>(Table7[[#This Row],[close]]-F15)/F15</f>
        <v>-8.583521221470658E-3</v>
      </c>
    </row>
    <row r="17" spans="1:8" x14ac:dyDescent="0.3">
      <c r="A17" s="5">
        <v>45679</v>
      </c>
      <c r="B17" s="6" t="s">
        <v>27</v>
      </c>
      <c r="C17" s="6">
        <v>732.39</v>
      </c>
      <c r="D17" s="6">
        <v>742.23</v>
      </c>
      <c r="E17" s="6">
        <v>722.55</v>
      </c>
      <c r="F17" s="6">
        <v>732.1</v>
      </c>
      <c r="G17" s="6">
        <v>47760</v>
      </c>
      <c r="H17" s="10">
        <f>(Table7[[#This Row],[close]]-F16)/F16</f>
        <v>-2.6359187147568807E-2</v>
      </c>
    </row>
    <row r="18" spans="1:8" x14ac:dyDescent="0.3">
      <c r="A18" s="5">
        <v>45680</v>
      </c>
      <c r="B18" s="6" t="s">
        <v>27</v>
      </c>
      <c r="C18" s="6">
        <v>727.63</v>
      </c>
      <c r="D18" s="6">
        <v>729.04</v>
      </c>
      <c r="E18" s="6">
        <v>726.22</v>
      </c>
      <c r="F18" s="6">
        <v>726.49</v>
      </c>
      <c r="G18" s="6">
        <v>26876</v>
      </c>
      <c r="H18" s="10">
        <f>(Table7[[#This Row],[close]]-F17)/F17</f>
        <v>-7.6628875836634519E-3</v>
      </c>
    </row>
    <row r="19" spans="1:8" x14ac:dyDescent="0.3">
      <c r="A19" s="5">
        <v>45681</v>
      </c>
      <c r="B19" s="6" t="s">
        <v>27</v>
      </c>
      <c r="C19" s="6">
        <v>730.78</v>
      </c>
      <c r="D19" s="6">
        <v>734.77</v>
      </c>
      <c r="E19" s="6">
        <v>726.79</v>
      </c>
      <c r="F19" s="6">
        <v>732.15</v>
      </c>
      <c r="G19" s="6">
        <v>47214</v>
      </c>
      <c r="H19" s="10">
        <f>(Table7[[#This Row],[close]]-F18)/F18</f>
        <v>7.790884939916541E-3</v>
      </c>
    </row>
    <row r="20" spans="1:8" x14ac:dyDescent="0.3">
      <c r="A20" s="5">
        <v>45684</v>
      </c>
      <c r="B20" s="6" t="s">
        <v>27</v>
      </c>
      <c r="C20" s="6">
        <v>759.45</v>
      </c>
      <c r="D20" s="6">
        <v>767.23</v>
      </c>
      <c r="E20" s="6">
        <v>751.67</v>
      </c>
      <c r="F20" s="6">
        <v>756.33</v>
      </c>
      <c r="G20" s="6">
        <v>5555</v>
      </c>
      <c r="H20" s="10">
        <f>(Table7[[#This Row],[close]]-F19)/F19</f>
        <v>3.302601925834879E-2</v>
      </c>
    </row>
    <row r="21" spans="1:8" x14ac:dyDescent="0.3">
      <c r="A21" s="5">
        <v>45685</v>
      </c>
      <c r="B21" s="6" t="s">
        <v>27</v>
      </c>
      <c r="C21" s="6">
        <v>759.3</v>
      </c>
      <c r="D21" s="6">
        <v>768.01</v>
      </c>
      <c r="E21" s="6">
        <v>750.6</v>
      </c>
      <c r="F21" s="6">
        <v>760.27</v>
      </c>
      <c r="G21" s="6">
        <v>18429</v>
      </c>
      <c r="H21" s="10">
        <f>(Table7[[#This Row],[close]]-F20)/F20</f>
        <v>5.2093662819139011E-3</v>
      </c>
    </row>
    <row r="22" spans="1:8" x14ac:dyDescent="0.3">
      <c r="A22" s="5">
        <v>45686</v>
      </c>
      <c r="B22" s="6" t="s">
        <v>27</v>
      </c>
      <c r="C22" s="6">
        <v>756.07</v>
      </c>
      <c r="D22" s="6">
        <v>765.34</v>
      </c>
      <c r="E22" s="6">
        <v>746.8</v>
      </c>
      <c r="F22" s="6">
        <v>761.63</v>
      </c>
      <c r="G22" s="6">
        <v>4436</v>
      </c>
      <c r="H22" s="10">
        <f>(Table7[[#This Row],[close]]-F21)/F21</f>
        <v>1.7888381759112075E-3</v>
      </c>
    </row>
    <row r="23" spans="1:8" x14ac:dyDescent="0.3">
      <c r="A23" s="5">
        <v>45687</v>
      </c>
      <c r="B23" s="6" t="s">
        <v>27</v>
      </c>
      <c r="C23" s="6">
        <v>753.7</v>
      </c>
      <c r="D23" s="6">
        <v>764.24</v>
      </c>
      <c r="E23" s="6">
        <v>743.16</v>
      </c>
      <c r="F23" s="6">
        <v>756.88</v>
      </c>
      <c r="G23" s="6">
        <v>31746</v>
      </c>
      <c r="H23" s="10">
        <f>(Table7[[#This Row],[close]]-F22)/F22</f>
        <v>-6.2366240825597729E-3</v>
      </c>
    </row>
    <row r="24" spans="1:8" x14ac:dyDescent="0.3">
      <c r="A24" s="5">
        <v>45688</v>
      </c>
      <c r="B24" s="6" t="s">
        <v>27</v>
      </c>
      <c r="C24" s="6">
        <v>753.55</v>
      </c>
      <c r="D24" s="6">
        <v>763.3</v>
      </c>
      <c r="E24" s="6">
        <v>743.8</v>
      </c>
      <c r="F24" s="6">
        <v>751.35</v>
      </c>
      <c r="G24" s="6">
        <v>40790</v>
      </c>
      <c r="H24" s="10">
        <f>(Table7[[#This Row],[close]]-F23)/F23</f>
        <v>-7.306310115209773E-3</v>
      </c>
    </row>
    <row r="25" spans="1:8" x14ac:dyDescent="0.3">
      <c r="A25" s="5">
        <v>45691</v>
      </c>
      <c r="B25" s="6" t="s">
        <v>27</v>
      </c>
      <c r="C25" s="6">
        <v>762.82</v>
      </c>
      <c r="D25" s="6">
        <v>768.05</v>
      </c>
      <c r="E25" s="6">
        <v>757.59</v>
      </c>
      <c r="F25" s="6">
        <v>760.56</v>
      </c>
      <c r="G25" s="6">
        <v>41764</v>
      </c>
      <c r="H25" s="10">
        <f>(Table7[[#This Row],[close]]-F24)/F24</f>
        <v>1.2257935715711616E-2</v>
      </c>
    </row>
    <row r="26" spans="1:8" x14ac:dyDescent="0.3">
      <c r="A26" s="5">
        <v>45692</v>
      </c>
      <c r="B26" s="6" t="s">
        <v>27</v>
      </c>
      <c r="C26" s="6">
        <v>762.98</v>
      </c>
      <c r="D26" s="6">
        <v>771.15</v>
      </c>
      <c r="E26" s="6">
        <v>754.8</v>
      </c>
      <c r="F26" s="6">
        <v>763.53</v>
      </c>
      <c r="G26" s="6">
        <v>45080</v>
      </c>
      <c r="H26" s="10">
        <f>(Table7[[#This Row],[close]]-F25)/F25</f>
        <v>3.9050173556327279E-3</v>
      </c>
    </row>
    <row r="27" spans="1:8" x14ac:dyDescent="0.3">
      <c r="A27" s="5">
        <v>45693</v>
      </c>
      <c r="B27" s="6" t="s">
        <v>27</v>
      </c>
      <c r="C27" s="6">
        <v>750.42</v>
      </c>
      <c r="D27" s="6">
        <v>758.28</v>
      </c>
      <c r="E27" s="6">
        <v>742.55</v>
      </c>
      <c r="F27" s="6">
        <v>757.62</v>
      </c>
      <c r="G27" s="6">
        <v>19589</v>
      </c>
      <c r="H27" s="10">
        <f>(Table7[[#This Row],[close]]-F26)/F26</f>
        <v>-7.7403638363914562E-3</v>
      </c>
    </row>
    <row r="28" spans="1:8" x14ac:dyDescent="0.3">
      <c r="A28" s="5">
        <v>45694</v>
      </c>
      <c r="B28" s="6" t="s">
        <v>27</v>
      </c>
      <c r="C28" s="6">
        <v>748.4</v>
      </c>
      <c r="D28" s="6">
        <v>762.38</v>
      </c>
      <c r="E28" s="6">
        <v>734.42</v>
      </c>
      <c r="F28" s="6">
        <v>748.11</v>
      </c>
      <c r="G28" s="6">
        <v>48202</v>
      </c>
      <c r="H28" s="10">
        <f>(Table7[[#This Row],[close]]-F27)/F27</f>
        <v>-1.255246693593093E-2</v>
      </c>
    </row>
    <row r="29" spans="1:8" x14ac:dyDescent="0.3">
      <c r="A29" s="5">
        <v>45695</v>
      </c>
      <c r="B29" s="6" t="s">
        <v>27</v>
      </c>
      <c r="C29" s="6">
        <v>745.23</v>
      </c>
      <c r="D29" s="6">
        <v>757.93</v>
      </c>
      <c r="E29" s="6">
        <v>732.53</v>
      </c>
      <c r="F29" s="6">
        <v>746.77</v>
      </c>
      <c r="G29" s="6">
        <v>4420</v>
      </c>
      <c r="H29" s="10">
        <f>(Table7[[#This Row],[close]]-F28)/F28</f>
        <v>-1.7911804413789842E-3</v>
      </c>
    </row>
    <row r="30" spans="1:8" x14ac:dyDescent="0.3">
      <c r="A30" s="5">
        <v>45698</v>
      </c>
      <c r="B30" s="6" t="s">
        <v>27</v>
      </c>
      <c r="C30" s="6">
        <v>737.94</v>
      </c>
      <c r="D30" s="6">
        <v>748.29</v>
      </c>
      <c r="E30" s="6">
        <v>727.6</v>
      </c>
      <c r="F30" s="6">
        <v>741.94</v>
      </c>
      <c r="G30" s="6">
        <v>1699</v>
      </c>
      <c r="H30" s="10">
        <f>(Table7[[#This Row],[close]]-F29)/F29</f>
        <v>-6.4678548950813869E-3</v>
      </c>
    </row>
    <row r="31" spans="1:8" x14ac:dyDescent="0.3">
      <c r="A31" s="5">
        <v>45699</v>
      </c>
      <c r="B31" s="6" t="s">
        <v>27</v>
      </c>
      <c r="C31" s="6">
        <v>746.21</v>
      </c>
      <c r="D31" s="6">
        <v>754.72</v>
      </c>
      <c r="E31" s="6">
        <v>737.69</v>
      </c>
      <c r="F31" s="6">
        <v>742.06</v>
      </c>
      <c r="G31" s="6">
        <v>36743</v>
      </c>
      <c r="H31" s="10">
        <f>(Table7[[#This Row],[close]]-F30)/F30</f>
        <v>1.6173814594157325E-4</v>
      </c>
    </row>
    <row r="32" spans="1:8" x14ac:dyDescent="0.3">
      <c r="A32" s="5">
        <v>45700</v>
      </c>
      <c r="B32" s="6" t="s">
        <v>27</v>
      </c>
      <c r="C32" s="6">
        <v>744.05</v>
      </c>
      <c r="D32" s="6">
        <v>752.7</v>
      </c>
      <c r="E32" s="6">
        <v>735.41</v>
      </c>
      <c r="F32" s="6">
        <v>740.1</v>
      </c>
      <c r="G32" s="6">
        <v>27641</v>
      </c>
      <c r="H32" s="10">
        <f>(Table7[[#This Row],[close]]-F31)/F31</f>
        <v>-2.6412958520873283E-3</v>
      </c>
    </row>
    <row r="33" spans="1:8" x14ac:dyDescent="0.3">
      <c r="A33" s="5">
        <v>45701</v>
      </c>
      <c r="B33" s="6" t="s">
        <v>27</v>
      </c>
      <c r="C33" s="6">
        <v>741.09</v>
      </c>
      <c r="D33" s="6">
        <v>752.2</v>
      </c>
      <c r="E33" s="6">
        <v>729.99</v>
      </c>
      <c r="F33" s="6">
        <v>743.91</v>
      </c>
      <c r="G33" s="6">
        <v>1569</v>
      </c>
      <c r="H33" s="10">
        <f>(Table7[[#This Row],[close]]-F32)/F32</f>
        <v>5.1479529793270438E-3</v>
      </c>
    </row>
    <row r="34" spans="1:8" x14ac:dyDescent="0.3">
      <c r="A34" s="5">
        <v>45702</v>
      </c>
      <c r="B34" s="6" t="s">
        <v>27</v>
      </c>
      <c r="C34" s="6">
        <v>738.62</v>
      </c>
      <c r="D34" s="6">
        <v>745.95</v>
      </c>
      <c r="E34" s="6">
        <v>731.29</v>
      </c>
      <c r="F34" s="6">
        <v>732.33</v>
      </c>
      <c r="G34" s="6">
        <v>46681</v>
      </c>
      <c r="H34" s="10">
        <f>(Table7[[#This Row],[close]]-F33)/F33</f>
        <v>-1.5566399161188757E-2</v>
      </c>
    </row>
    <row r="35" spans="1:8" x14ac:dyDescent="0.3">
      <c r="A35" s="5">
        <v>45705</v>
      </c>
      <c r="B35" s="6" t="s">
        <v>27</v>
      </c>
      <c r="C35" s="6">
        <v>739.86</v>
      </c>
      <c r="D35" s="6">
        <v>751.78</v>
      </c>
      <c r="E35" s="6">
        <v>727.94</v>
      </c>
      <c r="F35" s="6">
        <v>742.65</v>
      </c>
      <c r="G35" s="6">
        <v>36777</v>
      </c>
      <c r="H35" s="10">
        <f>(Table7[[#This Row],[close]]-F34)/F34</f>
        <v>1.4092007701445981E-2</v>
      </c>
    </row>
    <row r="36" spans="1:8" x14ac:dyDescent="0.3">
      <c r="A36" s="5">
        <v>45706</v>
      </c>
      <c r="B36" s="6" t="s">
        <v>27</v>
      </c>
      <c r="C36" s="6">
        <v>768.97</v>
      </c>
      <c r="D36" s="6">
        <v>773.2</v>
      </c>
      <c r="E36" s="6">
        <v>764.74</v>
      </c>
      <c r="F36" s="6">
        <v>769.29</v>
      </c>
      <c r="G36" s="6">
        <v>46017</v>
      </c>
      <c r="H36" s="10">
        <f>(Table7[[#This Row],[close]]-F35)/F35</f>
        <v>3.5871541102807498E-2</v>
      </c>
    </row>
    <row r="37" spans="1:8" x14ac:dyDescent="0.3">
      <c r="A37" s="5">
        <v>45707</v>
      </c>
      <c r="B37" s="6" t="s">
        <v>27</v>
      </c>
      <c r="C37" s="6">
        <v>781.47</v>
      </c>
      <c r="D37" s="6">
        <v>792.7</v>
      </c>
      <c r="E37" s="6">
        <v>770.24</v>
      </c>
      <c r="F37" s="6">
        <v>781.13</v>
      </c>
      <c r="G37" s="6">
        <v>13533</v>
      </c>
      <c r="H37" s="10">
        <f>(Table7[[#This Row],[close]]-F36)/F36</f>
        <v>1.5390814907252184E-2</v>
      </c>
    </row>
    <row r="38" spans="1:8" x14ac:dyDescent="0.3">
      <c r="A38" s="5">
        <v>45708</v>
      </c>
      <c r="B38" s="6" t="s">
        <v>27</v>
      </c>
      <c r="C38" s="6">
        <v>783.99</v>
      </c>
      <c r="D38" s="6">
        <v>789.1</v>
      </c>
      <c r="E38" s="6">
        <v>778.87</v>
      </c>
      <c r="F38" s="6">
        <v>783.47</v>
      </c>
      <c r="G38" s="6">
        <v>20190</v>
      </c>
      <c r="H38" s="10">
        <f>(Table7[[#This Row],[close]]-F37)/F37</f>
        <v>2.9956601333965306E-3</v>
      </c>
    </row>
    <row r="39" spans="1:8" x14ac:dyDescent="0.3">
      <c r="A39" s="5">
        <v>45709</v>
      </c>
      <c r="B39" s="6" t="s">
        <v>27</v>
      </c>
      <c r="C39" s="6">
        <v>793.71</v>
      </c>
      <c r="D39" s="6">
        <v>799.06</v>
      </c>
      <c r="E39" s="6">
        <v>788.35</v>
      </c>
      <c r="F39" s="6">
        <v>792.41</v>
      </c>
      <c r="G39" s="6">
        <v>11647</v>
      </c>
      <c r="H39" s="10">
        <f>(Table7[[#This Row],[close]]-F38)/F38</f>
        <v>1.1410775141358241E-2</v>
      </c>
    </row>
    <row r="40" spans="1:8" x14ac:dyDescent="0.3">
      <c r="A40" s="5">
        <v>45712</v>
      </c>
      <c r="B40" s="6" t="s">
        <v>27</v>
      </c>
      <c r="C40" s="6">
        <v>785.73</v>
      </c>
      <c r="D40" s="6">
        <v>796.88</v>
      </c>
      <c r="E40" s="6">
        <v>774.58</v>
      </c>
      <c r="F40" s="6">
        <v>782.59</v>
      </c>
      <c r="G40" s="6">
        <v>25376</v>
      </c>
      <c r="H40" s="10">
        <f>(Table7[[#This Row],[close]]-F39)/F39</f>
        <v>-1.2392574551053036E-2</v>
      </c>
    </row>
    <row r="41" spans="1:8" x14ac:dyDescent="0.3">
      <c r="A41" s="5">
        <v>45713</v>
      </c>
      <c r="B41" s="6" t="s">
        <v>27</v>
      </c>
      <c r="C41" s="6">
        <v>770.64</v>
      </c>
      <c r="D41" s="6">
        <v>776.95</v>
      </c>
      <c r="E41" s="6">
        <v>764.33</v>
      </c>
      <c r="F41" s="6">
        <v>767.31</v>
      </c>
      <c r="G41" s="6">
        <v>13039</v>
      </c>
      <c r="H41" s="10">
        <f>(Table7[[#This Row],[close]]-F40)/F40</f>
        <v>-1.9524910872870962E-2</v>
      </c>
    </row>
    <row r="42" spans="1:8" x14ac:dyDescent="0.3">
      <c r="A42" s="5">
        <v>45714</v>
      </c>
      <c r="B42" s="6" t="s">
        <v>27</v>
      </c>
      <c r="C42" s="6">
        <v>774.29</v>
      </c>
      <c r="D42" s="6">
        <v>785.89</v>
      </c>
      <c r="E42" s="6">
        <v>762.68</v>
      </c>
      <c r="F42" s="6">
        <v>775.01</v>
      </c>
      <c r="G42" s="6">
        <v>26547</v>
      </c>
      <c r="H42" s="10">
        <f>(Table7[[#This Row],[close]]-F41)/F41</f>
        <v>1.003505753867413E-2</v>
      </c>
    </row>
    <row r="43" spans="1:8" x14ac:dyDescent="0.3">
      <c r="A43" s="5">
        <v>45715</v>
      </c>
      <c r="B43" s="6" t="s">
        <v>27</v>
      </c>
      <c r="C43" s="6">
        <v>776.57</v>
      </c>
      <c r="D43" s="6">
        <v>783.61</v>
      </c>
      <c r="E43" s="6">
        <v>769.54</v>
      </c>
      <c r="F43" s="6">
        <v>769.96</v>
      </c>
      <c r="G43" s="6">
        <v>33097</v>
      </c>
      <c r="H43" s="10">
        <f>(Table7[[#This Row],[close]]-F42)/F42</f>
        <v>-6.5160449542585961E-3</v>
      </c>
    </row>
    <row r="44" spans="1:8" x14ac:dyDescent="0.3">
      <c r="A44" s="5">
        <v>45716</v>
      </c>
      <c r="B44" s="6" t="s">
        <v>27</v>
      </c>
      <c r="C44" s="6">
        <v>753.52</v>
      </c>
      <c r="D44" s="6">
        <v>758.61</v>
      </c>
      <c r="E44" s="6">
        <v>748.43</v>
      </c>
      <c r="F44" s="6">
        <v>757.19</v>
      </c>
      <c r="G44" s="6">
        <v>34621</v>
      </c>
      <c r="H44" s="10">
        <f>(Table7[[#This Row],[close]]-F43)/F43</f>
        <v>-1.6585277157254899E-2</v>
      </c>
    </row>
    <row r="45" spans="1:8" x14ac:dyDescent="0.3">
      <c r="A45" s="5">
        <v>45719</v>
      </c>
      <c r="B45" s="6" t="s">
        <v>27</v>
      </c>
      <c r="C45" s="6">
        <v>750.31</v>
      </c>
      <c r="D45" s="6">
        <v>753.93</v>
      </c>
      <c r="E45" s="6">
        <v>746.69</v>
      </c>
      <c r="F45" s="6">
        <v>749.01</v>
      </c>
      <c r="G45" s="6">
        <v>23677</v>
      </c>
      <c r="H45" s="10">
        <f>(Table7[[#This Row],[close]]-F44)/F44</f>
        <v>-1.0803100938998221E-2</v>
      </c>
    </row>
    <row r="46" spans="1:8" x14ac:dyDescent="0.3">
      <c r="A46" s="5">
        <v>45720</v>
      </c>
      <c r="B46" s="6" t="s">
        <v>27</v>
      </c>
      <c r="C46" s="6">
        <v>742.73</v>
      </c>
      <c r="D46" s="6">
        <v>747.32</v>
      </c>
      <c r="E46" s="6">
        <v>738.14</v>
      </c>
      <c r="F46" s="6">
        <v>738.59</v>
      </c>
      <c r="G46" s="6">
        <v>43675</v>
      </c>
      <c r="H46" s="10">
        <f>(Table7[[#This Row],[close]]-F45)/F45</f>
        <v>-1.3911696773073736E-2</v>
      </c>
    </row>
    <row r="47" spans="1:8" x14ac:dyDescent="0.3">
      <c r="A47" s="5">
        <v>45721</v>
      </c>
      <c r="B47" s="6" t="s">
        <v>27</v>
      </c>
      <c r="C47" s="6">
        <v>738.07</v>
      </c>
      <c r="D47" s="6">
        <v>740.6</v>
      </c>
      <c r="E47" s="6">
        <v>735.53</v>
      </c>
      <c r="F47" s="6">
        <v>740.02</v>
      </c>
      <c r="G47" s="6">
        <v>16338</v>
      </c>
      <c r="H47" s="10">
        <f>(Table7[[#This Row],[close]]-F46)/F46</f>
        <v>1.9361215288589745E-3</v>
      </c>
    </row>
    <row r="48" spans="1:8" x14ac:dyDescent="0.3">
      <c r="A48" s="5">
        <v>45722</v>
      </c>
      <c r="B48" s="6" t="s">
        <v>27</v>
      </c>
      <c r="C48" s="6">
        <v>742.7</v>
      </c>
      <c r="D48" s="6">
        <v>747.54</v>
      </c>
      <c r="E48" s="6">
        <v>737.86</v>
      </c>
      <c r="F48" s="6">
        <v>745.65</v>
      </c>
      <c r="G48" s="6">
        <v>20508</v>
      </c>
      <c r="H48" s="10">
        <f>(Table7[[#This Row],[close]]-F47)/F47</f>
        <v>7.6079024891219094E-3</v>
      </c>
    </row>
    <row r="49" spans="1:8" x14ac:dyDescent="0.3">
      <c r="A49" s="5">
        <v>45723</v>
      </c>
      <c r="B49" s="6" t="s">
        <v>27</v>
      </c>
      <c r="C49" s="6">
        <v>748.98</v>
      </c>
      <c r="D49" s="6">
        <v>758.31</v>
      </c>
      <c r="E49" s="6">
        <v>739.65</v>
      </c>
      <c r="F49" s="6">
        <v>754.21</v>
      </c>
      <c r="G49" s="6">
        <v>22606</v>
      </c>
      <c r="H49" s="10">
        <f>(Table7[[#This Row],[close]]-F48)/F48</f>
        <v>1.1479916851069616E-2</v>
      </c>
    </row>
    <row r="50" spans="1:8" x14ac:dyDescent="0.3">
      <c r="A50" s="5">
        <v>45726</v>
      </c>
      <c r="B50" s="6" t="s">
        <v>27</v>
      </c>
      <c r="C50" s="6">
        <v>763.2</v>
      </c>
      <c r="D50" s="6">
        <v>764.24</v>
      </c>
      <c r="E50" s="6">
        <v>762.15</v>
      </c>
      <c r="F50" s="6">
        <v>762.94</v>
      </c>
      <c r="G50" s="6">
        <v>33093</v>
      </c>
      <c r="H50" s="10">
        <f>(Table7[[#This Row],[close]]-F49)/F49</f>
        <v>1.1575025523395364E-2</v>
      </c>
    </row>
    <row r="51" spans="1:8" x14ac:dyDescent="0.3">
      <c r="A51" s="5">
        <v>45727</v>
      </c>
      <c r="B51" s="6" t="s">
        <v>27</v>
      </c>
      <c r="C51" s="6">
        <v>769.67</v>
      </c>
      <c r="D51" s="6">
        <v>778.75</v>
      </c>
      <c r="E51" s="6">
        <v>760.59</v>
      </c>
      <c r="F51" s="6">
        <v>770.42</v>
      </c>
      <c r="G51" s="6">
        <v>8987</v>
      </c>
      <c r="H51" s="10">
        <f>(Table7[[#This Row],[close]]-F50)/F50</f>
        <v>9.8041785723646732E-3</v>
      </c>
    </row>
    <row r="52" spans="1:8" x14ac:dyDescent="0.3">
      <c r="A52" s="5">
        <v>45728</v>
      </c>
      <c r="B52" s="6" t="s">
        <v>27</v>
      </c>
      <c r="C52" s="6">
        <v>762.16</v>
      </c>
      <c r="D52" s="6">
        <v>770.63</v>
      </c>
      <c r="E52" s="6">
        <v>753.69</v>
      </c>
      <c r="F52" s="6">
        <v>768.59</v>
      </c>
      <c r="G52" s="6">
        <v>47185</v>
      </c>
      <c r="H52" s="10">
        <f>(Table7[[#This Row],[close]]-F51)/F51</f>
        <v>-2.37532774330875E-3</v>
      </c>
    </row>
    <row r="53" spans="1:8" x14ac:dyDescent="0.3">
      <c r="A53" s="5">
        <v>45729</v>
      </c>
      <c r="B53" s="6" t="s">
        <v>27</v>
      </c>
      <c r="C53" s="6">
        <v>759.16</v>
      </c>
      <c r="D53" s="6">
        <v>767.69</v>
      </c>
      <c r="E53" s="6">
        <v>750.63</v>
      </c>
      <c r="F53" s="6">
        <v>762.76</v>
      </c>
      <c r="G53" s="6">
        <v>18214</v>
      </c>
      <c r="H53" s="10">
        <f>(Table7[[#This Row],[close]]-F52)/F52</f>
        <v>-7.58531857036917E-3</v>
      </c>
    </row>
    <row r="54" spans="1:8" x14ac:dyDescent="0.3">
      <c r="A54" s="5">
        <v>45730</v>
      </c>
      <c r="B54" s="6" t="s">
        <v>27</v>
      </c>
      <c r="C54" s="6">
        <v>746.26</v>
      </c>
      <c r="D54" s="6">
        <v>755.07</v>
      </c>
      <c r="E54" s="6">
        <v>737.44</v>
      </c>
      <c r="F54" s="6">
        <v>748.58</v>
      </c>
      <c r="G54" s="6">
        <v>26945</v>
      </c>
      <c r="H54" s="10">
        <f>(Table7[[#This Row],[close]]-F53)/F53</f>
        <v>-1.8590382295872818E-2</v>
      </c>
    </row>
    <row r="55" spans="1:8" x14ac:dyDescent="0.3">
      <c r="A55" s="5">
        <v>45733</v>
      </c>
      <c r="B55" s="6" t="s">
        <v>27</v>
      </c>
      <c r="C55" s="6">
        <v>752.09</v>
      </c>
      <c r="D55" s="6">
        <v>759.59</v>
      </c>
      <c r="E55" s="6">
        <v>744.59</v>
      </c>
      <c r="F55" s="6">
        <v>759.2</v>
      </c>
      <c r="G55" s="6">
        <v>2150</v>
      </c>
      <c r="H55" s="10">
        <f>(Table7[[#This Row],[close]]-F54)/F54</f>
        <v>1.4186860455796313E-2</v>
      </c>
    </row>
    <row r="56" spans="1:8" x14ac:dyDescent="0.3">
      <c r="A56" s="5">
        <v>45734</v>
      </c>
      <c r="B56" s="6" t="s">
        <v>27</v>
      </c>
      <c r="C56" s="6">
        <v>759.86</v>
      </c>
      <c r="D56" s="6">
        <v>768.23</v>
      </c>
      <c r="E56" s="6">
        <v>751.49</v>
      </c>
      <c r="F56" s="6">
        <v>757.69</v>
      </c>
      <c r="G56" s="6">
        <v>2081</v>
      </c>
      <c r="H56" s="10">
        <f>(Table7[[#This Row],[close]]-F55)/F55</f>
        <v>-1.9889357218124222E-3</v>
      </c>
    </row>
    <row r="57" spans="1:8" x14ac:dyDescent="0.3">
      <c r="A57" s="5">
        <v>45735</v>
      </c>
      <c r="B57" s="6" t="s">
        <v>27</v>
      </c>
      <c r="C57" s="6">
        <v>757.52</v>
      </c>
      <c r="D57" s="6">
        <v>767.76</v>
      </c>
      <c r="E57" s="6">
        <v>747.29</v>
      </c>
      <c r="F57" s="6">
        <v>753.96</v>
      </c>
      <c r="G57" s="6">
        <v>47175</v>
      </c>
      <c r="H57" s="10">
        <f>(Table7[[#This Row],[close]]-F56)/F56</f>
        <v>-4.9228576330689567E-3</v>
      </c>
    </row>
    <row r="58" spans="1:8" x14ac:dyDescent="0.3">
      <c r="A58" s="5">
        <v>45736</v>
      </c>
      <c r="B58" s="6" t="s">
        <v>27</v>
      </c>
      <c r="C58" s="6">
        <v>764.17</v>
      </c>
      <c r="D58" s="6">
        <v>773.84</v>
      </c>
      <c r="E58" s="6">
        <v>754.49</v>
      </c>
      <c r="F58" s="6">
        <v>765.43</v>
      </c>
      <c r="G58" s="6">
        <v>46543</v>
      </c>
      <c r="H58" s="10">
        <f>(Table7[[#This Row],[close]]-F57)/F57</f>
        <v>1.5213008647673502E-2</v>
      </c>
    </row>
    <row r="59" spans="1:8" x14ac:dyDescent="0.3">
      <c r="A59" s="5">
        <v>45737</v>
      </c>
      <c r="B59" s="6" t="s">
        <v>27</v>
      </c>
      <c r="C59" s="6">
        <v>759.24</v>
      </c>
      <c r="D59" s="6">
        <v>771.15</v>
      </c>
      <c r="E59" s="6">
        <v>747.34</v>
      </c>
      <c r="F59" s="6">
        <v>757</v>
      </c>
      <c r="G59" s="6">
        <v>14500</v>
      </c>
      <c r="H59" s="10">
        <f>(Table7[[#This Row],[close]]-F58)/F58</f>
        <v>-1.1013417294853809E-2</v>
      </c>
    </row>
    <row r="60" spans="1:8" x14ac:dyDescent="0.3">
      <c r="A60" s="5">
        <v>45740</v>
      </c>
      <c r="B60" s="6" t="s">
        <v>27</v>
      </c>
      <c r="C60" s="6">
        <v>766.59</v>
      </c>
      <c r="D60" s="6">
        <v>776.48</v>
      </c>
      <c r="E60" s="6">
        <v>756.7</v>
      </c>
      <c r="F60" s="6">
        <v>765.18</v>
      </c>
      <c r="G60" s="6">
        <v>48893</v>
      </c>
      <c r="H60" s="10">
        <f>(Table7[[#This Row],[close]]-F59)/F59</f>
        <v>1.0805812417437187E-2</v>
      </c>
    </row>
    <row r="61" spans="1:8" x14ac:dyDescent="0.3">
      <c r="A61" s="5">
        <v>45741</v>
      </c>
      <c r="B61" s="6" t="s">
        <v>27</v>
      </c>
      <c r="C61" s="6">
        <v>773.47</v>
      </c>
      <c r="D61" s="6">
        <v>779.45</v>
      </c>
      <c r="E61" s="6">
        <v>767.5</v>
      </c>
      <c r="F61" s="6">
        <v>768.23</v>
      </c>
      <c r="G61" s="6">
        <v>2679</v>
      </c>
      <c r="H61" s="10">
        <f>(Table7[[#This Row],[close]]-F60)/F60</f>
        <v>3.9859902245224241E-3</v>
      </c>
    </row>
    <row r="62" spans="1:8" x14ac:dyDescent="0.3">
      <c r="A62" s="5">
        <v>45742</v>
      </c>
      <c r="B62" s="6" t="s">
        <v>27</v>
      </c>
      <c r="C62" s="6">
        <v>758.72</v>
      </c>
      <c r="D62" s="6">
        <v>760.84</v>
      </c>
      <c r="E62" s="6">
        <v>756.61</v>
      </c>
      <c r="F62" s="6">
        <v>758.43</v>
      </c>
      <c r="G62" s="6">
        <v>28932</v>
      </c>
      <c r="H62" s="10">
        <f>(Table7[[#This Row],[close]]-F61)/F61</f>
        <v>-1.2756596331827796E-2</v>
      </c>
    </row>
    <row r="63" spans="1:8" x14ac:dyDescent="0.3">
      <c r="A63" s="5">
        <v>45743</v>
      </c>
      <c r="B63" s="6" t="s">
        <v>27</v>
      </c>
      <c r="C63" s="6">
        <v>758.42</v>
      </c>
      <c r="D63" s="6">
        <v>759.65</v>
      </c>
      <c r="E63" s="6">
        <v>757.19</v>
      </c>
      <c r="F63" s="6">
        <v>757.89</v>
      </c>
      <c r="G63" s="6">
        <v>14296</v>
      </c>
      <c r="H63" s="10">
        <f>(Table7[[#This Row],[close]]-F62)/F62</f>
        <v>-7.1199715201134407E-4</v>
      </c>
    </row>
    <row r="64" spans="1:8" x14ac:dyDescent="0.3">
      <c r="A64" s="5">
        <v>45744</v>
      </c>
      <c r="B64" s="6" t="s">
        <v>27</v>
      </c>
      <c r="C64" s="6">
        <v>762.29</v>
      </c>
      <c r="D64" s="6">
        <v>772.2</v>
      </c>
      <c r="E64" s="6">
        <v>752.39</v>
      </c>
      <c r="F64" s="6">
        <v>767.42</v>
      </c>
      <c r="G64" s="6">
        <v>30124</v>
      </c>
      <c r="H64" s="10">
        <f>(Table7[[#This Row],[close]]-F63)/F63</f>
        <v>1.2574384145456429E-2</v>
      </c>
    </row>
    <row r="65" spans="1:8" x14ac:dyDescent="0.3">
      <c r="A65" s="5">
        <v>45747</v>
      </c>
      <c r="B65" s="6" t="s">
        <v>27</v>
      </c>
      <c r="C65" s="6">
        <v>778.25</v>
      </c>
      <c r="D65" s="6">
        <v>782.69</v>
      </c>
      <c r="E65" s="6">
        <v>773.82</v>
      </c>
      <c r="F65" s="6">
        <v>775.33</v>
      </c>
      <c r="G65" s="6">
        <v>36247</v>
      </c>
      <c r="H65" s="10">
        <f>(Table7[[#This Row],[close]]-F64)/F64</f>
        <v>1.0307263297803135E-2</v>
      </c>
    </row>
    <row r="66" spans="1:8" x14ac:dyDescent="0.3">
      <c r="A66" s="5">
        <v>45748</v>
      </c>
      <c r="B66" s="6" t="s">
        <v>27</v>
      </c>
      <c r="C66" s="6">
        <v>793.91</v>
      </c>
      <c r="D66" s="6">
        <v>803.02</v>
      </c>
      <c r="E66" s="6">
        <v>784.8</v>
      </c>
      <c r="F66" s="6">
        <v>790.27</v>
      </c>
      <c r="G66" s="6">
        <v>38220</v>
      </c>
      <c r="H66" s="10">
        <f>(Table7[[#This Row],[close]]-F65)/F65</f>
        <v>1.9269214399030014E-2</v>
      </c>
    </row>
    <row r="67" spans="1:8" x14ac:dyDescent="0.3">
      <c r="A67" s="5">
        <v>45749</v>
      </c>
      <c r="B67" s="6" t="s">
        <v>27</v>
      </c>
      <c r="C67" s="6">
        <v>792.11</v>
      </c>
      <c r="D67" s="6">
        <v>800.16</v>
      </c>
      <c r="E67" s="6">
        <v>784.05</v>
      </c>
      <c r="F67" s="6">
        <v>793.83</v>
      </c>
      <c r="G67" s="6">
        <v>33580</v>
      </c>
      <c r="H67" s="10">
        <f>(Table7[[#This Row],[close]]-F66)/F66</f>
        <v>4.5047895023220662E-3</v>
      </c>
    </row>
    <row r="68" spans="1:8" x14ac:dyDescent="0.3">
      <c r="A68" s="5">
        <v>45750</v>
      </c>
      <c r="B68" s="6" t="s">
        <v>27</v>
      </c>
      <c r="C68" s="6">
        <v>833.67</v>
      </c>
      <c r="D68" s="6">
        <v>843.18</v>
      </c>
      <c r="E68" s="6">
        <v>824.16</v>
      </c>
      <c r="F68" s="6">
        <v>828.48</v>
      </c>
      <c r="G68" s="6">
        <v>24289</v>
      </c>
      <c r="H68" s="10">
        <f>(Table7[[#This Row],[close]]-F67)/F67</f>
        <v>4.3649144023279511E-2</v>
      </c>
    </row>
    <row r="69" spans="1:8" x14ac:dyDescent="0.3">
      <c r="A69" s="5">
        <v>45751</v>
      </c>
      <c r="B69" s="6" t="s">
        <v>27</v>
      </c>
      <c r="C69" s="6">
        <v>822.67</v>
      </c>
      <c r="D69" s="6">
        <v>834.42</v>
      </c>
      <c r="E69" s="6">
        <v>810.92</v>
      </c>
      <c r="F69" s="6">
        <v>819.13</v>
      </c>
      <c r="G69" s="6">
        <v>42975</v>
      </c>
      <c r="H69" s="10">
        <f>(Table7[[#This Row],[close]]-F68)/F68</f>
        <v>-1.1285728080339927E-2</v>
      </c>
    </row>
    <row r="70" spans="1:8" x14ac:dyDescent="0.3">
      <c r="A70" s="5">
        <v>45754</v>
      </c>
      <c r="B70" s="6" t="s">
        <v>27</v>
      </c>
      <c r="C70" s="6">
        <v>819.26</v>
      </c>
      <c r="D70" s="6">
        <v>825.96</v>
      </c>
      <c r="E70" s="6">
        <v>812.56</v>
      </c>
      <c r="F70" s="6">
        <v>815.22</v>
      </c>
      <c r="G70" s="6">
        <v>39646</v>
      </c>
      <c r="H70" s="10">
        <f>(Table7[[#This Row],[close]]-F69)/F69</f>
        <v>-4.773357098384833E-3</v>
      </c>
    </row>
    <row r="71" spans="1:8" x14ac:dyDescent="0.3">
      <c r="A71" s="5">
        <v>45755</v>
      </c>
      <c r="B71" s="6" t="s">
        <v>27</v>
      </c>
      <c r="C71" s="6">
        <v>815.41</v>
      </c>
      <c r="D71" s="6">
        <v>830.17</v>
      </c>
      <c r="E71" s="6">
        <v>800.66</v>
      </c>
      <c r="F71" s="6">
        <v>814.79</v>
      </c>
      <c r="G71" s="6">
        <v>23687</v>
      </c>
      <c r="H71" s="10">
        <f>(Table7[[#This Row],[close]]-F70)/F70</f>
        <v>-5.2746497877881261E-4</v>
      </c>
    </row>
    <row r="72" spans="1:8" x14ac:dyDescent="0.3">
      <c r="A72" s="5">
        <v>45756</v>
      </c>
      <c r="B72" s="6" t="s">
        <v>27</v>
      </c>
      <c r="C72" s="6">
        <v>803.46</v>
      </c>
      <c r="D72" s="6">
        <v>815.6</v>
      </c>
      <c r="E72" s="6">
        <v>791.33</v>
      </c>
      <c r="F72" s="6">
        <v>800.54</v>
      </c>
      <c r="G72" s="6">
        <v>7833</v>
      </c>
      <c r="H72" s="10">
        <f>(Table7[[#This Row],[close]]-F71)/F71</f>
        <v>-1.7489168988328283E-2</v>
      </c>
    </row>
    <row r="73" spans="1:8" x14ac:dyDescent="0.3">
      <c r="A73" s="5">
        <v>45757</v>
      </c>
      <c r="B73" s="6" t="s">
        <v>27</v>
      </c>
      <c r="C73" s="6">
        <v>814.93</v>
      </c>
      <c r="D73" s="6">
        <v>820.62</v>
      </c>
      <c r="E73" s="6">
        <v>809.23</v>
      </c>
      <c r="F73" s="6">
        <v>811.32</v>
      </c>
      <c r="G73" s="6">
        <v>6052</v>
      </c>
      <c r="H73" s="10">
        <f>(Table7[[#This Row],[close]]-F72)/F72</f>
        <v>1.3465910510405585E-2</v>
      </c>
    </row>
    <row r="74" spans="1:8" x14ac:dyDescent="0.3">
      <c r="A74" s="5">
        <v>45758</v>
      </c>
      <c r="B74" s="6" t="s">
        <v>27</v>
      </c>
      <c r="C74" s="6">
        <v>817.55</v>
      </c>
      <c r="D74" s="6">
        <v>829.76</v>
      </c>
      <c r="E74" s="6">
        <v>805.35</v>
      </c>
      <c r="F74" s="6">
        <v>820.8</v>
      </c>
      <c r="G74" s="6">
        <v>41770</v>
      </c>
      <c r="H74" s="10">
        <f>(Table7[[#This Row],[close]]-F73)/F73</f>
        <v>1.1684662032243633E-2</v>
      </c>
    </row>
    <row r="75" spans="1:8" x14ac:dyDescent="0.3">
      <c r="A75" s="5">
        <v>45761</v>
      </c>
      <c r="B75" s="6" t="s">
        <v>27</v>
      </c>
      <c r="C75" s="6">
        <v>822.58</v>
      </c>
      <c r="D75" s="6">
        <v>834.67</v>
      </c>
      <c r="E75" s="6">
        <v>810.5</v>
      </c>
      <c r="F75" s="6">
        <v>821.2</v>
      </c>
      <c r="G75" s="6">
        <v>18450</v>
      </c>
      <c r="H75" s="10">
        <f>(Table7[[#This Row],[close]]-F74)/F74</f>
        <v>4.8732943469796658E-4</v>
      </c>
    </row>
    <row r="76" spans="1:8" x14ac:dyDescent="0.3">
      <c r="A76" s="5">
        <v>45762</v>
      </c>
      <c r="B76" s="6" t="s">
        <v>27</v>
      </c>
      <c r="C76" s="6">
        <v>816.91</v>
      </c>
      <c r="D76" s="6">
        <v>819.07</v>
      </c>
      <c r="E76" s="6">
        <v>814.75</v>
      </c>
      <c r="F76" s="6">
        <v>815.88</v>
      </c>
      <c r="G76" s="6">
        <v>39494</v>
      </c>
      <c r="H76" s="10">
        <f>(Table7[[#This Row],[close]]-F75)/F75</f>
        <v>-6.4783244033122869E-3</v>
      </c>
    </row>
    <row r="77" spans="1:8" x14ac:dyDescent="0.3">
      <c r="A77" s="5">
        <v>45763</v>
      </c>
      <c r="B77" s="6" t="s">
        <v>27</v>
      </c>
      <c r="C77" s="6">
        <v>803.56</v>
      </c>
      <c r="D77" s="6">
        <v>806.89</v>
      </c>
      <c r="E77" s="6">
        <v>800.22</v>
      </c>
      <c r="F77" s="6">
        <v>800.85</v>
      </c>
      <c r="G77" s="6">
        <v>35850</v>
      </c>
      <c r="H77" s="10">
        <f>(Table7[[#This Row],[close]]-F76)/F76</f>
        <v>-1.8421826739226325E-2</v>
      </c>
    </row>
    <row r="78" spans="1:8" x14ac:dyDescent="0.3">
      <c r="A78" s="5">
        <v>45764</v>
      </c>
      <c r="B78" s="6" t="s">
        <v>27</v>
      </c>
      <c r="C78" s="6">
        <v>790.58</v>
      </c>
      <c r="D78" s="6">
        <v>798.45</v>
      </c>
      <c r="E78" s="6">
        <v>782.71</v>
      </c>
      <c r="F78" s="6">
        <v>793.11</v>
      </c>
      <c r="G78" s="6">
        <v>24132</v>
      </c>
      <c r="H78" s="10">
        <f>(Table7[[#This Row],[close]]-F77)/F77</f>
        <v>-9.6647312230754932E-3</v>
      </c>
    </row>
    <row r="79" spans="1:8" x14ac:dyDescent="0.3">
      <c r="A79" s="5">
        <v>45765</v>
      </c>
      <c r="B79" s="6" t="s">
        <v>27</v>
      </c>
      <c r="C79" s="6">
        <v>807.35</v>
      </c>
      <c r="D79" s="6">
        <v>814.3</v>
      </c>
      <c r="E79" s="6">
        <v>800.4</v>
      </c>
      <c r="F79" s="6">
        <v>800.77</v>
      </c>
      <c r="G79" s="6">
        <v>1417</v>
      </c>
      <c r="H79" s="10">
        <f>(Table7[[#This Row],[close]]-F78)/F78</f>
        <v>9.6581810845909992E-3</v>
      </c>
    </row>
    <row r="80" spans="1:8" x14ac:dyDescent="0.3">
      <c r="A80" s="5">
        <v>45768</v>
      </c>
      <c r="B80" s="6" t="s">
        <v>27</v>
      </c>
      <c r="C80" s="6">
        <v>796.94</v>
      </c>
      <c r="D80" s="6">
        <v>802.99</v>
      </c>
      <c r="E80" s="6">
        <v>790.9</v>
      </c>
      <c r="F80" s="6">
        <v>798.82</v>
      </c>
      <c r="G80" s="6">
        <v>18209</v>
      </c>
      <c r="H80" s="10">
        <f>(Table7[[#This Row],[close]]-F79)/F79</f>
        <v>-2.435156162193803E-3</v>
      </c>
    </row>
    <row r="81" spans="1:8" x14ac:dyDescent="0.3">
      <c r="A81" s="5">
        <v>45769</v>
      </c>
      <c r="B81" s="6" t="s">
        <v>27</v>
      </c>
      <c r="C81" s="6">
        <v>795.26</v>
      </c>
      <c r="D81" s="6">
        <v>805.8</v>
      </c>
      <c r="E81" s="6">
        <v>784.73</v>
      </c>
      <c r="F81" s="6">
        <v>794.73</v>
      </c>
      <c r="G81" s="6">
        <v>1412</v>
      </c>
      <c r="H81" s="10">
        <f>(Table7[[#This Row],[close]]-F80)/F80</f>
        <v>-5.1200520768133395E-3</v>
      </c>
    </row>
    <row r="82" spans="1:8" x14ac:dyDescent="0.3">
      <c r="A82" s="5">
        <v>45770</v>
      </c>
      <c r="B82" s="6" t="s">
        <v>27</v>
      </c>
      <c r="C82" s="6">
        <v>796.92</v>
      </c>
      <c r="D82" s="6">
        <v>800.58</v>
      </c>
      <c r="E82" s="6">
        <v>793.27</v>
      </c>
      <c r="F82" s="6">
        <v>799.95</v>
      </c>
      <c r="G82" s="6">
        <v>24548</v>
      </c>
      <c r="H82" s="10">
        <f>(Table7[[#This Row],[close]]-F81)/F81</f>
        <v>6.5682684685365181E-3</v>
      </c>
    </row>
    <row r="83" spans="1:8" x14ac:dyDescent="0.3">
      <c r="A83" s="5">
        <v>45771</v>
      </c>
      <c r="B83" s="6" t="s">
        <v>27</v>
      </c>
      <c r="C83" s="6">
        <v>812.75</v>
      </c>
      <c r="D83" s="6">
        <v>816.48</v>
      </c>
      <c r="E83" s="6">
        <v>809.02</v>
      </c>
      <c r="F83" s="6">
        <v>811.9</v>
      </c>
      <c r="G83" s="6">
        <v>19888</v>
      </c>
      <c r="H83" s="10">
        <f>(Table7[[#This Row],[close]]-F82)/F82</f>
        <v>1.4938433652103171E-2</v>
      </c>
    </row>
    <row r="84" spans="1:8" x14ac:dyDescent="0.3">
      <c r="A84" s="5">
        <v>45772</v>
      </c>
      <c r="B84" s="6" t="s">
        <v>27</v>
      </c>
      <c r="C84" s="6">
        <v>814.67</v>
      </c>
      <c r="D84" s="6">
        <v>824</v>
      </c>
      <c r="E84" s="6">
        <v>805.35</v>
      </c>
      <c r="F84" s="6">
        <v>814.73</v>
      </c>
      <c r="G84" s="6">
        <v>18506</v>
      </c>
      <c r="H84" s="10">
        <f>(Table7[[#This Row],[close]]-F83)/F83</f>
        <v>3.4856509422343156E-3</v>
      </c>
    </row>
    <row r="85" spans="1:8" x14ac:dyDescent="0.3">
      <c r="A85" s="5">
        <v>45775</v>
      </c>
      <c r="B85" s="6" t="s">
        <v>27</v>
      </c>
      <c r="C85" s="6">
        <v>818.49</v>
      </c>
      <c r="D85" s="6">
        <v>824.91</v>
      </c>
      <c r="E85" s="6">
        <v>812.07</v>
      </c>
      <c r="F85" s="6">
        <v>818.16</v>
      </c>
      <c r="G85" s="6">
        <v>35911</v>
      </c>
      <c r="H85" s="10">
        <f>(Table7[[#This Row],[close]]-F84)/F84</f>
        <v>4.2099836755734414E-3</v>
      </c>
    </row>
    <row r="86" spans="1:8" x14ac:dyDescent="0.3">
      <c r="A86" s="5">
        <v>45776</v>
      </c>
      <c r="B86" s="6" t="s">
        <v>27</v>
      </c>
      <c r="C86" s="6">
        <v>827.71</v>
      </c>
      <c r="D86" s="6">
        <v>838.3</v>
      </c>
      <c r="E86" s="6">
        <v>817.12</v>
      </c>
      <c r="F86" s="6">
        <v>832.62</v>
      </c>
      <c r="G86" s="6">
        <v>45811</v>
      </c>
      <c r="H86" s="10">
        <f>(Table7[[#This Row],[close]]-F85)/F85</f>
        <v>1.7673804634790305E-2</v>
      </c>
    </row>
    <row r="87" spans="1:8" x14ac:dyDescent="0.3">
      <c r="A87" s="5">
        <v>45777</v>
      </c>
      <c r="B87" s="6" t="s">
        <v>27</v>
      </c>
      <c r="C87" s="6">
        <v>831.98</v>
      </c>
      <c r="D87" s="6">
        <v>841.83</v>
      </c>
      <c r="E87" s="6">
        <v>822.13</v>
      </c>
      <c r="F87" s="6">
        <v>834.67</v>
      </c>
      <c r="G87" s="6">
        <v>48320</v>
      </c>
      <c r="H87" s="10">
        <f>(Table7[[#This Row],[close]]-F86)/F86</f>
        <v>2.4621075640747937E-3</v>
      </c>
    </row>
    <row r="88" spans="1:8" x14ac:dyDescent="0.3">
      <c r="A88" s="5">
        <v>45778</v>
      </c>
      <c r="B88" s="6" t="s">
        <v>27</v>
      </c>
      <c r="C88" s="6">
        <v>830.46</v>
      </c>
      <c r="D88" s="6">
        <v>835.58</v>
      </c>
      <c r="E88" s="6">
        <v>825.34</v>
      </c>
      <c r="F88" s="6">
        <v>831.62</v>
      </c>
      <c r="G88" s="6">
        <v>45912</v>
      </c>
      <c r="H88" s="10">
        <f>(Table7[[#This Row],[close]]-F87)/F87</f>
        <v>-3.6541387614266174E-3</v>
      </c>
    </row>
    <row r="89" spans="1:8" x14ac:dyDescent="0.3">
      <c r="A89" s="5">
        <v>45779</v>
      </c>
      <c r="B89" s="6" t="s">
        <v>27</v>
      </c>
      <c r="C89" s="6">
        <v>836.21</v>
      </c>
      <c r="D89" s="6">
        <v>847.38</v>
      </c>
      <c r="E89" s="6">
        <v>825.03</v>
      </c>
      <c r="F89" s="6">
        <v>838.9</v>
      </c>
      <c r="G89" s="6">
        <v>1698</v>
      </c>
      <c r="H89" s="10">
        <f>(Table7[[#This Row],[close]]-F88)/F88</f>
        <v>8.7539982203409875E-3</v>
      </c>
    </row>
    <row r="90" spans="1:8" x14ac:dyDescent="0.3">
      <c r="A90" s="5">
        <v>45782</v>
      </c>
      <c r="B90" s="6" t="s">
        <v>27</v>
      </c>
      <c r="C90" s="6">
        <v>836.78</v>
      </c>
      <c r="D90" s="6">
        <v>838.06</v>
      </c>
      <c r="E90" s="6">
        <v>835.5</v>
      </c>
      <c r="F90" s="6">
        <v>836.39</v>
      </c>
      <c r="G90" s="6">
        <v>8400</v>
      </c>
      <c r="H90" s="10">
        <f>(Table7[[#This Row],[close]]-F89)/F89</f>
        <v>-2.9920133508165346E-3</v>
      </c>
    </row>
    <row r="91" spans="1:8" x14ac:dyDescent="0.3">
      <c r="A91" s="5">
        <v>45783</v>
      </c>
      <c r="B91" s="6" t="s">
        <v>27</v>
      </c>
      <c r="C91" s="6">
        <v>836.82</v>
      </c>
      <c r="D91" s="6">
        <v>846.83</v>
      </c>
      <c r="E91" s="6">
        <v>826.81</v>
      </c>
      <c r="F91" s="6">
        <v>832.72</v>
      </c>
      <c r="G91" s="6">
        <v>18101</v>
      </c>
      <c r="H91" s="10">
        <f>(Table7[[#This Row],[close]]-F90)/F90</f>
        <v>-4.3879051638589161E-3</v>
      </c>
    </row>
    <row r="92" spans="1:8" x14ac:dyDescent="0.3">
      <c r="A92" s="5">
        <v>45784</v>
      </c>
      <c r="B92" s="6" t="s">
        <v>27</v>
      </c>
      <c r="C92" s="6">
        <v>848.04</v>
      </c>
      <c r="D92" s="6">
        <v>857.85</v>
      </c>
      <c r="E92" s="6">
        <v>838.23</v>
      </c>
      <c r="F92" s="6">
        <v>846.4</v>
      </c>
      <c r="G92" s="6">
        <v>6486</v>
      </c>
      <c r="H92" s="10">
        <f>(Table7[[#This Row],[close]]-F91)/F91</f>
        <v>1.6428091075031161E-2</v>
      </c>
    </row>
    <row r="93" spans="1:8" x14ac:dyDescent="0.3">
      <c r="A93" s="5">
        <v>45785</v>
      </c>
      <c r="B93" s="6" t="s">
        <v>27</v>
      </c>
      <c r="C93" s="6">
        <v>843.42</v>
      </c>
      <c r="D93" s="6">
        <v>844.89</v>
      </c>
      <c r="E93" s="6">
        <v>841.94</v>
      </c>
      <c r="F93" s="6">
        <v>843.49</v>
      </c>
      <c r="G93" s="6">
        <v>38259</v>
      </c>
      <c r="H93" s="10">
        <f>(Table7[[#This Row],[close]]-F92)/F92</f>
        <v>-3.4380907372400381E-3</v>
      </c>
    </row>
    <row r="94" spans="1:8" x14ac:dyDescent="0.3">
      <c r="A94" s="5">
        <v>45786</v>
      </c>
      <c r="B94" s="6" t="s">
        <v>27</v>
      </c>
      <c r="C94" s="6">
        <v>813.13</v>
      </c>
      <c r="D94" s="6">
        <v>821.3</v>
      </c>
      <c r="E94" s="6">
        <v>804.96</v>
      </c>
      <c r="F94" s="6">
        <v>815.93</v>
      </c>
      <c r="G94" s="6">
        <v>41419</v>
      </c>
      <c r="H94" s="10">
        <f>(Table7[[#This Row],[close]]-F93)/F93</f>
        <v>-3.2673772066058947E-2</v>
      </c>
    </row>
    <row r="95" spans="1:8" x14ac:dyDescent="0.3">
      <c r="A95" s="5">
        <v>45789</v>
      </c>
      <c r="B95" s="6" t="s">
        <v>27</v>
      </c>
      <c r="C95" s="6">
        <v>821.04</v>
      </c>
      <c r="D95" s="6">
        <v>835.2</v>
      </c>
      <c r="E95" s="6">
        <v>806.88</v>
      </c>
      <c r="F95" s="6">
        <v>819.69</v>
      </c>
      <c r="G95" s="6">
        <v>2062</v>
      </c>
      <c r="H95" s="10">
        <f>(Table7[[#This Row],[close]]-F94)/F94</f>
        <v>4.6082384518281042E-3</v>
      </c>
    </row>
    <row r="96" spans="1:8" x14ac:dyDescent="0.3">
      <c r="A96" s="5">
        <v>45790</v>
      </c>
      <c r="B96" s="6" t="s">
        <v>27</v>
      </c>
      <c r="C96" s="6">
        <v>812.52</v>
      </c>
      <c r="D96" s="6">
        <v>817.3</v>
      </c>
      <c r="E96" s="6">
        <v>807.74</v>
      </c>
      <c r="F96" s="6">
        <v>815.81</v>
      </c>
      <c r="G96" s="6">
        <v>12174</v>
      </c>
      <c r="H96" s="10">
        <f>(Table7[[#This Row],[close]]-F95)/F95</f>
        <v>-4.7334968097696795E-3</v>
      </c>
    </row>
    <row r="97" spans="1:8" x14ac:dyDescent="0.3">
      <c r="A97" s="5">
        <v>45791</v>
      </c>
      <c r="B97" s="6" t="s">
        <v>27</v>
      </c>
      <c r="C97" s="6">
        <v>820.68</v>
      </c>
      <c r="D97" s="6">
        <v>829.23</v>
      </c>
      <c r="E97" s="6">
        <v>812.13</v>
      </c>
      <c r="F97" s="6">
        <v>813.03</v>
      </c>
      <c r="G97" s="6">
        <v>24714</v>
      </c>
      <c r="H97" s="10">
        <f>(Table7[[#This Row],[close]]-F96)/F96</f>
        <v>-3.4076561944570093E-3</v>
      </c>
    </row>
    <row r="98" spans="1:8" x14ac:dyDescent="0.3">
      <c r="A98" s="5">
        <v>45792</v>
      </c>
      <c r="B98" s="6" t="s">
        <v>27</v>
      </c>
      <c r="C98" s="6">
        <v>822.27</v>
      </c>
      <c r="D98" s="6">
        <v>832.4</v>
      </c>
      <c r="E98" s="6">
        <v>812.14</v>
      </c>
      <c r="F98" s="6">
        <v>817.88</v>
      </c>
      <c r="G98" s="6">
        <v>7801</v>
      </c>
      <c r="H98" s="10">
        <f>(Table7[[#This Row],[close]]-F97)/F97</f>
        <v>5.9653395323666075E-3</v>
      </c>
    </row>
    <row r="99" spans="1:8" x14ac:dyDescent="0.3">
      <c r="A99" s="5">
        <v>45793</v>
      </c>
      <c r="B99" s="6" t="s">
        <v>27</v>
      </c>
      <c r="C99" s="6">
        <v>818.66</v>
      </c>
      <c r="D99" s="6">
        <v>832.18</v>
      </c>
      <c r="E99" s="6">
        <v>805.13</v>
      </c>
      <c r="F99" s="6">
        <v>816.37</v>
      </c>
      <c r="G99" s="6">
        <v>18337</v>
      </c>
      <c r="H99" s="10">
        <f>(Table7[[#This Row],[close]]-F98)/F98</f>
        <v>-1.8462366117278706E-3</v>
      </c>
    </row>
    <row r="100" spans="1:8" x14ac:dyDescent="0.3">
      <c r="A100" s="5">
        <v>45796</v>
      </c>
      <c r="B100" s="6" t="s">
        <v>27</v>
      </c>
      <c r="C100" s="6">
        <v>823.01</v>
      </c>
      <c r="D100" s="6">
        <v>828.9</v>
      </c>
      <c r="E100" s="6">
        <v>817.12</v>
      </c>
      <c r="F100" s="6">
        <v>818.78</v>
      </c>
      <c r="G100" s="6">
        <v>2542</v>
      </c>
      <c r="H100" s="10">
        <f>(Table7[[#This Row],[close]]-F99)/F99</f>
        <v>2.9520928010583047E-3</v>
      </c>
    </row>
    <row r="101" spans="1:8" x14ac:dyDescent="0.3">
      <c r="A101" s="5">
        <v>45797</v>
      </c>
      <c r="B101" s="6" t="s">
        <v>27</v>
      </c>
      <c r="C101" s="6">
        <v>799.99</v>
      </c>
      <c r="D101" s="6">
        <v>805.17</v>
      </c>
      <c r="E101" s="6">
        <v>794.81</v>
      </c>
      <c r="F101" s="6">
        <v>798.37</v>
      </c>
      <c r="G101" s="6">
        <v>28569</v>
      </c>
      <c r="H101" s="10">
        <f>(Table7[[#This Row],[close]]-F100)/F100</f>
        <v>-2.4927330906959096E-2</v>
      </c>
    </row>
    <row r="102" spans="1:8" x14ac:dyDescent="0.3">
      <c r="A102" s="5">
        <v>45798</v>
      </c>
      <c r="B102" s="6" t="s">
        <v>27</v>
      </c>
      <c r="C102" s="6">
        <v>795.01</v>
      </c>
      <c r="D102" s="6">
        <v>803.2</v>
      </c>
      <c r="E102" s="6">
        <v>786.81</v>
      </c>
      <c r="F102" s="6">
        <v>789.13</v>
      </c>
      <c r="G102" s="6">
        <v>23556</v>
      </c>
      <c r="H102" s="10">
        <f>(Table7[[#This Row],[close]]-F101)/F101</f>
        <v>-1.1573581171637223E-2</v>
      </c>
    </row>
    <row r="103" spans="1:8" x14ac:dyDescent="0.3">
      <c r="A103" s="5">
        <v>45799</v>
      </c>
      <c r="B103" s="6" t="s">
        <v>27</v>
      </c>
      <c r="C103" s="6">
        <v>796.15</v>
      </c>
      <c r="D103" s="6">
        <v>804.76</v>
      </c>
      <c r="E103" s="6">
        <v>787.55</v>
      </c>
      <c r="F103" s="6">
        <v>803.4</v>
      </c>
      <c r="G103" s="6">
        <v>14807</v>
      </c>
      <c r="H103" s="10">
        <f>(Table7[[#This Row],[close]]-F102)/F102</f>
        <v>1.8083205555485132E-2</v>
      </c>
    </row>
    <row r="104" spans="1:8" x14ac:dyDescent="0.3">
      <c r="A104" s="5">
        <v>45800</v>
      </c>
      <c r="B104" s="6" t="s">
        <v>27</v>
      </c>
      <c r="C104" s="6">
        <v>803.26</v>
      </c>
      <c r="D104" s="6">
        <v>817.27</v>
      </c>
      <c r="E104" s="6">
        <v>789.26</v>
      </c>
      <c r="F104" s="6">
        <v>803.4</v>
      </c>
      <c r="G104" s="6">
        <v>27256</v>
      </c>
      <c r="H104" s="10">
        <f>(Table7[[#This Row],[close]]-F103)/F103</f>
        <v>0</v>
      </c>
    </row>
    <row r="105" spans="1:8" x14ac:dyDescent="0.3">
      <c r="A105" s="5">
        <v>45803</v>
      </c>
      <c r="B105" s="6" t="s">
        <v>27</v>
      </c>
      <c r="C105" s="6">
        <v>786.52</v>
      </c>
      <c r="D105" s="6">
        <v>801.74</v>
      </c>
      <c r="E105" s="6">
        <v>771.31</v>
      </c>
      <c r="F105" s="6">
        <v>786.83</v>
      </c>
      <c r="G105" s="6">
        <v>26731</v>
      </c>
      <c r="H105" s="10">
        <f>(Table7[[#This Row],[close]]-F104)/F104</f>
        <v>-2.0624844411252098E-2</v>
      </c>
    </row>
    <row r="106" spans="1:8" x14ac:dyDescent="0.3">
      <c r="A106" s="5">
        <v>45804</v>
      </c>
      <c r="B106" s="6" t="s">
        <v>27</v>
      </c>
      <c r="C106" s="6">
        <v>773.67</v>
      </c>
      <c r="D106" s="6">
        <v>781.89</v>
      </c>
      <c r="E106" s="6">
        <v>765.46</v>
      </c>
      <c r="F106" s="6">
        <v>776.45</v>
      </c>
      <c r="G106" s="6">
        <v>35578</v>
      </c>
      <c r="H106" s="10">
        <f>(Table7[[#This Row],[close]]-F105)/F105</f>
        <v>-1.3192176200704085E-2</v>
      </c>
    </row>
    <row r="107" spans="1:8" x14ac:dyDescent="0.3">
      <c r="A107" s="5">
        <v>45805</v>
      </c>
      <c r="B107" s="6" t="s">
        <v>27</v>
      </c>
      <c r="C107" s="6">
        <v>768.66</v>
      </c>
      <c r="D107" s="6">
        <v>778.91</v>
      </c>
      <c r="E107" s="6">
        <v>758.42</v>
      </c>
      <c r="F107" s="6">
        <v>766.99</v>
      </c>
      <c r="G107" s="6">
        <v>26289</v>
      </c>
      <c r="H107" s="10">
        <f>(Table7[[#This Row],[close]]-F106)/F106</f>
        <v>-1.2183656384828432E-2</v>
      </c>
    </row>
    <row r="108" spans="1:8" x14ac:dyDescent="0.3">
      <c r="A108" s="5">
        <v>45806</v>
      </c>
      <c r="B108" s="6" t="s">
        <v>27</v>
      </c>
      <c r="C108" s="6">
        <v>774.27</v>
      </c>
      <c r="D108" s="6">
        <v>782.08</v>
      </c>
      <c r="E108" s="6">
        <v>766.45</v>
      </c>
      <c r="F108" s="6">
        <v>768.16</v>
      </c>
      <c r="G108" s="6">
        <v>45482</v>
      </c>
      <c r="H108" s="10">
        <f>(Table7[[#This Row],[close]]-F107)/F107</f>
        <v>1.5254436172570164E-3</v>
      </c>
    </row>
    <row r="109" spans="1:8" x14ac:dyDescent="0.3">
      <c r="A109" s="5">
        <v>45807</v>
      </c>
      <c r="B109" s="6" t="s">
        <v>27</v>
      </c>
      <c r="C109" s="6">
        <v>763.01</v>
      </c>
      <c r="D109" s="6">
        <v>768.04</v>
      </c>
      <c r="E109" s="6">
        <v>757.97</v>
      </c>
      <c r="F109" s="6">
        <v>764.17</v>
      </c>
      <c r="G109" s="6">
        <v>4709</v>
      </c>
      <c r="H109" s="10">
        <f>(Table7[[#This Row],[close]]-F108)/F108</f>
        <v>-5.194230368673205E-3</v>
      </c>
    </row>
    <row r="110" spans="1:8" x14ac:dyDescent="0.3">
      <c r="A110" s="5">
        <v>45810</v>
      </c>
      <c r="B110" s="6" t="s">
        <v>27</v>
      </c>
      <c r="C110" s="6">
        <v>757.55</v>
      </c>
      <c r="D110" s="6">
        <v>758.88</v>
      </c>
      <c r="E110" s="6">
        <v>756.22</v>
      </c>
      <c r="F110" s="6">
        <v>758.03</v>
      </c>
      <c r="G110" s="6">
        <v>14116</v>
      </c>
      <c r="H110" s="10">
        <f>(Table7[[#This Row],[close]]-F109)/F109</f>
        <v>-8.0348613528403185E-3</v>
      </c>
    </row>
    <row r="111" spans="1:8" x14ac:dyDescent="0.3">
      <c r="A111" s="5">
        <v>45811</v>
      </c>
      <c r="B111" s="6" t="s">
        <v>27</v>
      </c>
      <c r="C111" s="6">
        <v>758.84</v>
      </c>
      <c r="D111" s="6">
        <v>770.72</v>
      </c>
      <c r="E111" s="6">
        <v>746.96</v>
      </c>
      <c r="F111" s="6">
        <v>758.24</v>
      </c>
      <c r="G111" s="6">
        <v>40298</v>
      </c>
      <c r="H111" s="10">
        <f>(Table7[[#This Row],[close]]-F110)/F110</f>
        <v>2.7703389047931663E-4</v>
      </c>
    </row>
    <row r="112" spans="1:8" x14ac:dyDescent="0.3">
      <c r="A112" s="5">
        <v>45812</v>
      </c>
      <c r="B112" s="6" t="s">
        <v>27</v>
      </c>
      <c r="C112" s="6">
        <v>760.11</v>
      </c>
      <c r="D112" s="6">
        <v>771.91</v>
      </c>
      <c r="E112" s="6">
        <v>748.32</v>
      </c>
      <c r="F112" s="6">
        <v>763</v>
      </c>
      <c r="G112" s="6">
        <v>34982</v>
      </c>
      <c r="H112" s="10">
        <f>(Table7[[#This Row],[close]]-F111)/F111</f>
        <v>6.2776957163958522E-3</v>
      </c>
    </row>
    <row r="113" spans="1:8" x14ac:dyDescent="0.3">
      <c r="A113" s="5">
        <v>45813</v>
      </c>
      <c r="B113" s="6" t="s">
        <v>27</v>
      </c>
      <c r="C113" s="6">
        <v>763.7</v>
      </c>
      <c r="D113" s="6">
        <v>767.97</v>
      </c>
      <c r="E113" s="6">
        <v>759.44</v>
      </c>
      <c r="F113" s="6">
        <v>760.7</v>
      </c>
      <c r="G113" s="6">
        <v>18312</v>
      </c>
      <c r="H113" s="10">
        <f>(Table7[[#This Row],[close]]-F112)/F112</f>
        <v>-3.0144167758846064E-3</v>
      </c>
    </row>
    <row r="114" spans="1:8" x14ac:dyDescent="0.3">
      <c r="A114" s="5">
        <v>45814</v>
      </c>
      <c r="B114" s="6" t="s">
        <v>27</v>
      </c>
      <c r="C114" s="6">
        <v>749.8</v>
      </c>
      <c r="D114" s="6">
        <v>758.77</v>
      </c>
      <c r="E114" s="6">
        <v>740.84</v>
      </c>
      <c r="F114" s="6">
        <v>755.39</v>
      </c>
      <c r="G114" s="6">
        <v>37395</v>
      </c>
      <c r="H114" s="10">
        <f>(Table7[[#This Row],[close]]-F113)/F113</f>
        <v>-6.9804127777048234E-3</v>
      </c>
    </row>
    <row r="115" spans="1:8" x14ac:dyDescent="0.3">
      <c r="A115" s="5">
        <v>45817</v>
      </c>
      <c r="B115" s="6" t="s">
        <v>27</v>
      </c>
      <c r="C115" s="6">
        <v>754.74</v>
      </c>
      <c r="D115" s="6">
        <v>766.27</v>
      </c>
      <c r="E115" s="6">
        <v>743.21</v>
      </c>
      <c r="F115" s="6">
        <v>751.57</v>
      </c>
      <c r="G115" s="6">
        <v>38678</v>
      </c>
      <c r="H115" s="10">
        <f>(Table7[[#This Row],[close]]-F114)/F114</f>
        <v>-5.0569904287850465E-3</v>
      </c>
    </row>
    <row r="116" spans="1:8" x14ac:dyDescent="0.3">
      <c r="A116" s="5">
        <v>45818</v>
      </c>
      <c r="B116" s="6" t="s">
        <v>27</v>
      </c>
      <c r="C116" s="6">
        <v>757.72</v>
      </c>
      <c r="D116" s="6">
        <v>768.43</v>
      </c>
      <c r="E116" s="6">
        <v>747</v>
      </c>
      <c r="F116" s="6">
        <v>754.97</v>
      </c>
      <c r="G116" s="6">
        <v>12003</v>
      </c>
      <c r="H116" s="10">
        <f>(Table7[[#This Row],[close]]-F115)/F115</f>
        <v>4.5238633793259139E-3</v>
      </c>
    </row>
    <row r="117" spans="1:8" x14ac:dyDescent="0.3">
      <c r="A117" s="5">
        <v>45819</v>
      </c>
      <c r="B117" s="6" t="s">
        <v>27</v>
      </c>
      <c r="C117" s="6">
        <v>751.46</v>
      </c>
      <c r="D117" s="6">
        <v>756.2</v>
      </c>
      <c r="E117" s="6">
        <v>746.72</v>
      </c>
      <c r="F117" s="6">
        <v>755.08</v>
      </c>
      <c r="G117" s="6">
        <v>14843</v>
      </c>
      <c r="H117" s="10">
        <f>(Table7[[#This Row],[close]]-F116)/F116</f>
        <v>1.4570115368824408E-4</v>
      </c>
    </row>
    <row r="118" spans="1:8" x14ac:dyDescent="0.3">
      <c r="A118" s="5">
        <v>45820</v>
      </c>
      <c r="B118" s="6" t="s">
        <v>27</v>
      </c>
      <c r="C118" s="6">
        <v>761.91</v>
      </c>
      <c r="D118" s="6">
        <v>763.75</v>
      </c>
      <c r="E118" s="6">
        <v>760.06</v>
      </c>
      <c r="F118" s="6">
        <v>762.6</v>
      </c>
      <c r="G118" s="6">
        <v>39413</v>
      </c>
      <c r="H118" s="10">
        <f>(Table7[[#This Row],[close]]-F117)/F117</f>
        <v>9.959209620172672E-3</v>
      </c>
    </row>
    <row r="119" spans="1:8" x14ac:dyDescent="0.3">
      <c r="A119" s="5">
        <v>45821</v>
      </c>
      <c r="B119" s="6" t="s">
        <v>27</v>
      </c>
      <c r="C119" s="6">
        <v>746.54</v>
      </c>
      <c r="D119" s="6">
        <v>756.24</v>
      </c>
      <c r="E119" s="6">
        <v>736.84</v>
      </c>
      <c r="F119" s="6">
        <v>751.81</v>
      </c>
      <c r="G119" s="6">
        <v>45597</v>
      </c>
      <c r="H119" s="10">
        <f>(Table7[[#This Row],[close]]-F118)/F118</f>
        <v>-1.4148964070285965E-2</v>
      </c>
    </row>
    <row r="120" spans="1:8" x14ac:dyDescent="0.3">
      <c r="A120" s="5">
        <v>45824</v>
      </c>
      <c r="B120" s="6" t="s">
        <v>27</v>
      </c>
      <c r="C120" s="6">
        <v>742.32</v>
      </c>
      <c r="D120" s="6">
        <v>753.38</v>
      </c>
      <c r="E120" s="6">
        <v>731.26</v>
      </c>
      <c r="F120" s="6">
        <v>744.68</v>
      </c>
      <c r="G120" s="6">
        <v>25504</v>
      </c>
      <c r="H120" s="10">
        <f>(Table7[[#This Row],[close]]-F119)/F119</f>
        <v>-9.4837791463268598E-3</v>
      </c>
    </row>
    <row r="121" spans="1:8" x14ac:dyDescent="0.3">
      <c r="A121" s="5">
        <v>45825</v>
      </c>
      <c r="B121" s="6" t="s">
        <v>27</v>
      </c>
      <c r="C121" s="6">
        <v>751.82</v>
      </c>
      <c r="D121" s="6">
        <v>765.92</v>
      </c>
      <c r="E121" s="6">
        <v>737.73</v>
      </c>
      <c r="F121" s="6">
        <v>752.15</v>
      </c>
      <c r="G121" s="6">
        <v>12023</v>
      </c>
      <c r="H121" s="10">
        <f>(Table7[[#This Row],[close]]-F120)/F120</f>
        <v>1.0031154321319262E-2</v>
      </c>
    </row>
    <row r="122" spans="1:8" x14ac:dyDescent="0.3">
      <c r="A122" s="5">
        <v>45826</v>
      </c>
      <c r="B122" s="6" t="s">
        <v>27</v>
      </c>
      <c r="C122" s="6">
        <v>748</v>
      </c>
      <c r="D122" s="6">
        <v>758.03</v>
      </c>
      <c r="E122" s="6">
        <v>737.98</v>
      </c>
      <c r="F122" s="6">
        <v>744.76</v>
      </c>
      <c r="G122" s="6">
        <v>1667</v>
      </c>
      <c r="H122" s="10">
        <f>(Table7[[#This Row],[close]]-F121)/F121</f>
        <v>-9.8251678521571323E-3</v>
      </c>
    </row>
    <row r="123" spans="1:8" x14ac:dyDescent="0.3">
      <c r="A123" s="5">
        <v>45827</v>
      </c>
      <c r="B123" s="6" t="s">
        <v>27</v>
      </c>
      <c r="C123" s="6">
        <v>759.3</v>
      </c>
      <c r="D123" s="6">
        <v>763.13</v>
      </c>
      <c r="E123" s="6">
        <v>755.47</v>
      </c>
      <c r="F123" s="6">
        <v>758.05</v>
      </c>
      <c r="G123" s="6">
        <v>37487</v>
      </c>
      <c r="H123" s="10">
        <f>(Table7[[#This Row],[close]]-F122)/F122</f>
        <v>1.7844674794564645E-2</v>
      </c>
    </row>
    <row r="124" spans="1:8" x14ac:dyDescent="0.3">
      <c r="A124" s="5">
        <v>45828</v>
      </c>
      <c r="B124" s="6" t="s">
        <v>27</v>
      </c>
      <c r="C124" s="6">
        <v>769.99</v>
      </c>
      <c r="D124" s="6">
        <v>777.22</v>
      </c>
      <c r="E124" s="6">
        <v>762.76</v>
      </c>
      <c r="F124" s="6">
        <v>771.77</v>
      </c>
      <c r="G124" s="6">
        <v>28355</v>
      </c>
      <c r="H124" s="10">
        <f>(Table7[[#This Row],[close]]-F123)/F123</f>
        <v>1.8099069982191185E-2</v>
      </c>
    </row>
    <row r="125" spans="1:8" x14ac:dyDescent="0.3">
      <c r="A125" s="5">
        <v>45831</v>
      </c>
      <c r="B125" s="6" t="s">
        <v>27</v>
      </c>
      <c r="C125" s="6">
        <v>786.4</v>
      </c>
      <c r="D125" s="6">
        <v>791.28</v>
      </c>
      <c r="E125" s="6">
        <v>781.53</v>
      </c>
      <c r="F125" s="6">
        <v>785.61</v>
      </c>
      <c r="G125" s="6">
        <v>39810</v>
      </c>
      <c r="H125" s="10">
        <f>(Table7[[#This Row],[close]]-F124)/F124</f>
        <v>1.7932803814608021E-2</v>
      </c>
    </row>
    <row r="126" spans="1:8" x14ac:dyDescent="0.3">
      <c r="A126" s="5">
        <v>45832</v>
      </c>
      <c r="B126" s="6" t="s">
        <v>27</v>
      </c>
      <c r="C126" s="6">
        <v>778.39</v>
      </c>
      <c r="D126" s="6">
        <v>787.98</v>
      </c>
      <c r="E126" s="6">
        <v>768.8</v>
      </c>
      <c r="F126" s="6">
        <v>777.13</v>
      </c>
      <c r="G126" s="6">
        <v>14216</v>
      </c>
      <c r="H126" s="10">
        <f>(Table7[[#This Row],[close]]-F125)/F125</f>
        <v>-1.0794159952139126E-2</v>
      </c>
    </row>
    <row r="127" spans="1:8" x14ac:dyDescent="0.3">
      <c r="A127" s="5">
        <v>45833</v>
      </c>
      <c r="B127" s="6" t="s">
        <v>27</v>
      </c>
      <c r="C127" s="6">
        <v>776.58</v>
      </c>
      <c r="D127" s="6">
        <v>784.47</v>
      </c>
      <c r="E127" s="6">
        <v>768.69</v>
      </c>
      <c r="F127" s="6">
        <v>778.07</v>
      </c>
      <c r="G127" s="6">
        <v>32471</v>
      </c>
      <c r="H127" s="10">
        <f>(Table7[[#This Row],[close]]-F126)/F126</f>
        <v>1.2095788349440308E-3</v>
      </c>
    </row>
    <row r="128" spans="1:8" x14ac:dyDescent="0.3">
      <c r="A128" s="5">
        <v>45834</v>
      </c>
      <c r="B128" s="6" t="s">
        <v>27</v>
      </c>
      <c r="C128" s="6">
        <v>767.64</v>
      </c>
      <c r="D128" s="6">
        <v>775.95</v>
      </c>
      <c r="E128" s="6">
        <v>759.34</v>
      </c>
      <c r="F128" s="6">
        <v>773.43</v>
      </c>
      <c r="G128" s="6">
        <v>46445</v>
      </c>
      <c r="H128" s="10">
        <f>(Table7[[#This Row],[close]]-F127)/F127</f>
        <v>-5.9634737234440342E-3</v>
      </c>
    </row>
    <row r="129" spans="1:8" x14ac:dyDescent="0.3">
      <c r="A129" s="5">
        <v>45835</v>
      </c>
      <c r="B129" s="6" t="s">
        <v>27</v>
      </c>
      <c r="C129" s="6">
        <v>784.42</v>
      </c>
      <c r="D129" s="6">
        <v>797.53</v>
      </c>
      <c r="E129" s="6">
        <v>771.31</v>
      </c>
      <c r="F129" s="6">
        <v>782.67</v>
      </c>
      <c r="G129" s="6">
        <v>11136</v>
      </c>
      <c r="H129" s="10">
        <f>(Table7[[#This Row],[close]]-F128)/F128</f>
        <v>1.1946782514254696E-2</v>
      </c>
    </row>
    <row r="130" spans="1:8" x14ac:dyDescent="0.3">
      <c r="A130" s="5">
        <v>45838</v>
      </c>
      <c r="B130" s="6" t="s">
        <v>27</v>
      </c>
      <c r="C130" s="6">
        <v>795.75</v>
      </c>
      <c r="D130" s="6">
        <v>806.56</v>
      </c>
      <c r="E130" s="6">
        <v>784.95</v>
      </c>
      <c r="F130" s="6">
        <v>799.87</v>
      </c>
      <c r="G130" s="6">
        <v>24793</v>
      </c>
      <c r="H130" s="10">
        <f>(Table7[[#This Row],[close]]-F129)/F129</f>
        <v>2.1976056320032768E-2</v>
      </c>
    </row>
    <row r="131" spans="1:8" x14ac:dyDescent="0.3">
      <c r="A131" s="5">
        <v>45658</v>
      </c>
      <c r="B131" s="6" t="s">
        <v>29</v>
      </c>
      <c r="C131" s="6">
        <v>1156.78</v>
      </c>
      <c r="D131" s="6">
        <v>1172.33</v>
      </c>
      <c r="E131" s="6">
        <v>1141.24</v>
      </c>
      <c r="F131" s="6">
        <v>1161</v>
      </c>
      <c r="G131" s="6">
        <v>11589</v>
      </c>
      <c r="H131" s="10">
        <f>(Table7[[#This Row],[close]]-F130)/F130</f>
        <v>0.45148586645329863</v>
      </c>
    </row>
    <row r="132" spans="1:8" x14ac:dyDescent="0.3">
      <c r="A132" s="5">
        <v>45659</v>
      </c>
      <c r="B132" s="6" t="s">
        <v>29</v>
      </c>
      <c r="C132" s="6">
        <v>1148.3800000000001</v>
      </c>
      <c r="D132" s="6">
        <v>1160.76</v>
      </c>
      <c r="E132" s="6">
        <v>1136.01</v>
      </c>
      <c r="F132" s="6">
        <v>1156.75</v>
      </c>
      <c r="G132" s="6">
        <v>14046</v>
      </c>
      <c r="H132" s="10">
        <f>(Table7[[#This Row],[close]]-F131)/F131</f>
        <v>-3.6606373815676143E-3</v>
      </c>
    </row>
    <row r="133" spans="1:8" x14ac:dyDescent="0.3">
      <c r="A133" s="5">
        <v>45660</v>
      </c>
      <c r="B133" s="6" t="s">
        <v>29</v>
      </c>
      <c r="C133" s="6">
        <v>1140.48</v>
      </c>
      <c r="D133" s="6">
        <v>1141.28</v>
      </c>
      <c r="E133" s="6">
        <v>1139.68</v>
      </c>
      <c r="F133" s="6">
        <v>1140.0999999999999</v>
      </c>
      <c r="G133" s="6">
        <v>5324</v>
      </c>
      <c r="H133" s="10">
        <f>(Table7[[#This Row],[close]]-F132)/F132</f>
        <v>-1.4393775664577559E-2</v>
      </c>
    </row>
    <row r="134" spans="1:8" x14ac:dyDescent="0.3">
      <c r="A134" s="5">
        <v>45663</v>
      </c>
      <c r="B134" s="6" t="s">
        <v>29</v>
      </c>
      <c r="C134" s="6">
        <v>1148.73</v>
      </c>
      <c r="D134" s="6">
        <v>1161.2</v>
      </c>
      <c r="E134" s="6">
        <v>1136.27</v>
      </c>
      <c r="F134" s="6">
        <v>1138.82</v>
      </c>
      <c r="G134" s="6">
        <v>42427</v>
      </c>
      <c r="H134" s="10">
        <f>(Table7[[#This Row],[close]]-F133)/F133</f>
        <v>-1.1227085343390691E-3</v>
      </c>
    </row>
    <row r="135" spans="1:8" x14ac:dyDescent="0.3">
      <c r="A135" s="5">
        <v>45664</v>
      </c>
      <c r="B135" s="6" t="s">
        <v>29</v>
      </c>
      <c r="C135" s="6">
        <v>1162.43</v>
      </c>
      <c r="D135" s="6">
        <v>1183.74</v>
      </c>
      <c r="E135" s="6">
        <v>1141.1199999999999</v>
      </c>
      <c r="F135" s="6">
        <v>1161.22</v>
      </c>
      <c r="G135" s="6">
        <v>42605</v>
      </c>
      <c r="H135" s="10">
        <f>(Table7[[#This Row],[close]]-F134)/F134</f>
        <v>1.96694824467432E-2</v>
      </c>
    </row>
    <row r="136" spans="1:8" x14ac:dyDescent="0.3">
      <c r="A136" s="5">
        <v>45665</v>
      </c>
      <c r="B136" s="6" t="s">
        <v>29</v>
      </c>
      <c r="C136" s="6">
        <v>1158.0999999999999</v>
      </c>
      <c r="D136" s="6">
        <v>1175</v>
      </c>
      <c r="E136" s="6">
        <v>1141.21</v>
      </c>
      <c r="F136" s="6">
        <v>1152.52</v>
      </c>
      <c r="G136" s="6">
        <v>48077</v>
      </c>
      <c r="H136" s="10">
        <f>(Table7[[#This Row],[close]]-F135)/F135</f>
        <v>-7.492120356177163E-3</v>
      </c>
    </row>
    <row r="137" spans="1:8" x14ac:dyDescent="0.3">
      <c r="A137" s="5">
        <v>45666</v>
      </c>
      <c r="B137" s="6" t="s">
        <v>29</v>
      </c>
      <c r="C137" s="6">
        <v>1170.78</v>
      </c>
      <c r="D137" s="6">
        <v>1189.54</v>
      </c>
      <c r="E137" s="6">
        <v>1152.02</v>
      </c>
      <c r="F137" s="6">
        <v>1173.8399999999999</v>
      </c>
      <c r="G137" s="6">
        <v>1846</v>
      </c>
      <c r="H137" s="10">
        <f>(Table7[[#This Row],[close]]-F136)/F136</f>
        <v>1.8498594384479174E-2</v>
      </c>
    </row>
    <row r="138" spans="1:8" x14ac:dyDescent="0.3">
      <c r="A138" s="5">
        <v>45667</v>
      </c>
      <c r="B138" s="6" t="s">
        <v>29</v>
      </c>
      <c r="C138" s="6">
        <v>1178.6400000000001</v>
      </c>
      <c r="D138" s="6">
        <v>1190.56</v>
      </c>
      <c r="E138" s="6">
        <v>1166.73</v>
      </c>
      <c r="F138" s="6">
        <v>1177.96</v>
      </c>
      <c r="G138" s="6">
        <v>23700</v>
      </c>
      <c r="H138" s="10">
        <f>(Table7[[#This Row],[close]]-F137)/F137</f>
        <v>3.509848020173208E-3</v>
      </c>
    </row>
    <row r="139" spans="1:8" x14ac:dyDescent="0.3">
      <c r="A139" s="5">
        <v>45670</v>
      </c>
      <c r="B139" s="6" t="s">
        <v>29</v>
      </c>
      <c r="C139" s="6">
        <v>1203.6400000000001</v>
      </c>
      <c r="D139" s="6">
        <v>1215.0899999999999</v>
      </c>
      <c r="E139" s="6">
        <v>1192.2</v>
      </c>
      <c r="F139" s="6">
        <v>1196.67</v>
      </c>
      <c r="G139" s="6">
        <v>43101</v>
      </c>
      <c r="H139" s="10">
        <f>(Table7[[#This Row],[close]]-F138)/F138</f>
        <v>1.5883391626201261E-2</v>
      </c>
    </row>
    <row r="140" spans="1:8" x14ac:dyDescent="0.3">
      <c r="A140" s="5">
        <v>45671</v>
      </c>
      <c r="B140" s="6" t="s">
        <v>29</v>
      </c>
      <c r="C140" s="6">
        <v>1206.4000000000001</v>
      </c>
      <c r="D140" s="6">
        <v>1217.33</v>
      </c>
      <c r="E140" s="6">
        <v>1195.47</v>
      </c>
      <c r="F140" s="6">
        <v>1200.26</v>
      </c>
      <c r="G140" s="6">
        <v>46587</v>
      </c>
      <c r="H140" s="10">
        <f>(Table7[[#This Row],[close]]-F139)/F139</f>
        <v>2.9999916434772476E-3</v>
      </c>
    </row>
    <row r="141" spans="1:8" x14ac:dyDescent="0.3">
      <c r="A141" s="5">
        <v>45672</v>
      </c>
      <c r="B141" s="6" t="s">
        <v>29</v>
      </c>
      <c r="C141" s="6">
        <v>1194.77</v>
      </c>
      <c r="D141" s="6">
        <v>1199.03</v>
      </c>
      <c r="E141" s="6">
        <v>1190.5</v>
      </c>
      <c r="F141" s="6">
        <v>1193.24</v>
      </c>
      <c r="G141" s="6">
        <v>40001</v>
      </c>
      <c r="H141" s="10">
        <f>(Table7[[#This Row],[close]]-F140)/F140</f>
        <v>-5.8487327745654957E-3</v>
      </c>
    </row>
    <row r="142" spans="1:8" x14ac:dyDescent="0.3">
      <c r="A142" s="5">
        <v>45673</v>
      </c>
      <c r="B142" s="6" t="s">
        <v>29</v>
      </c>
      <c r="C142" s="6">
        <v>1226.72</v>
      </c>
      <c r="D142" s="6">
        <v>1237.1400000000001</v>
      </c>
      <c r="E142" s="6">
        <v>1216.3</v>
      </c>
      <c r="F142" s="6">
        <v>1218.43</v>
      </c>
      <c r="G142" s="6">
        <v>2917</v>
      </c>
      <c r="H142" s="10">
        <f>(Table7[[#This Row],[close]]-F141)/F141</f>
        <v>2.1110589655056865E-2</v>
      </c>
    </row>
    <row r="143" spans="1:8" x14ac:dyDescent="0.3">
      <c r="A143" s="5">
        <v>45674</v>
      </c>
      <c r="B143" s="6" t="s">
        <v>29</v>
      </c>
      <c r="C143" s="6">
        <v>1218.19</v>
      </c>
      <c r="D143" s="6">
        <v>1225.95</v>
      </c>
      <c r="E143" s="6">
        <v>1210.42</v>
      </c>
      <c r="F143" s="6">
        <v>1222.18</v>
      </c>
      <c r="G143" s="6">
        <v>48362</v>
      </c>
      <c r="H143" s="10">
        <f>(Table7[[#This Row],[close]]-F142)/F142</f>
        <v>3.0777311786479322E-3</v>
      </c>
    </row>
    <row r="144" spans="1:8" x14ac:dyDescent="0.3">
      <c r="A144" s="5">
        <v>45677</v>
      </c>
      <c r="B144" s="6" t="s">
        <v>29</v>
      </c>
      <c r="C144" s="6">
        <v>1221.55</v>
      </c>
      <c r="D144" s="6">
        <v>1226.31</v>
      </c>
      <c r="E144" s="6">
        <v>1216.79</v>
      </c>
      <c r="F144" s="6">
        <v>1225.04</v>
      </c>
      <c r="G144" s="6">
        <v>1009</v>
      </c>
      <c r="H144" s="10">
        <f>(Table7[[#This Row],[close]]-F143)/F143</f>
        <v>2.3400808391561799E-3</v>
      </c>
    </row>
    <row r="145" spans="1:8" x14ac:dyDescent="0.3">
      <c r="A145" s="5">
        <v>45678</v>
      </c>
      <c r="B145" s="6" t="s">
        <v>29</v>
      </c>
      <c r="C145" s="6">
        <v>1237.8599999999999</v>
      </c>
      <c r="D145" s="6">
        <v>1251.44</v>
      </c>
      <c r="E145" s="6">
        <v>1224.27</v>
      </c>
      <c r="F145" s="6">
        <v>1237.8599999999999</v>
      </c>
      <c r="G145" s="6">
        <v>40809</v>
      </c>
      <c r="H145" s="10">
        <f>(Table7[[#This Row],[close]]-F144)/F144</f>
        <v>1.0464964409325359E-2</v>
      </c>
    </row>
    <row r="146" spans="1:8" x14ac:dyDescent="0.3">
      <c r="A146" s="5">
        <v>45679</v>
      </c>
      <c r="B146" s="6" t="s">
        <v>29</v>
      </c>
      <c r="C146" s="6">
        <v>1246.55</v>
      </c>
      <c r="D146" s="6">
        <v>1260.73</v>
      </c>
      <c r="E146" s="6">
        <v>1232.3699999999999</v>
      </c>
      <c r="F146" s="6">
        <v>1252.6600000000001</v>
      </c>
      <c r="G146" s="6">
        <v>9512</v>
      </c>
      <c r="H146" s="10">
        <f>(Table7[[#This Row],[close]]-F145)/F145</f>
        <v>1.1956117816231385E-2</v>
      </c>
    </row>
    <row r="147" spans="1:8" x14ac:dyDescent="0.3">
      <c r="A147" s="5">
        <v>45680</v>
      </c>
      <c r="B147" s="6" t="s">
        <v>29</v>
      </c>
      <c r="C147" s="6">
        <v>1267.57</v>
      </c>
      <c r="D147" s="6">
        <v>1269.3699999999999</v>
      </c>
      <c r="E147" s="6">
        <v>1265.78</v>
      </c>
      <c r="F147" s="6">
        <v>1265.8499999999999</v>
      </c>
      <c r="G147" s="6">
        <v>28534</v>
      </c>
      <c r="H147" s="10">
        <f>(Table7[[#This Row],[close]]-F146)/F146</f>
        <v>1.0529593026040448E-2</v>
      </c>
    </row>
    <row r="148" spans="1:8" x14ac:dyDescent="0.3">
      <c r="A148" s="5">
        <v>45681</v>
      </c>
      <c r="B148" s="6" t="s">
        <v>29</v>
      </c>
      <c r="C148" s="6">
        <v>1245.53</v>
      </c>
      <c r="D148" s="6">
        <v>1256.53</v>
      </c>
      <c r="E148" s="6">
        <v>1234.54</v>
      </c>
      <c r="F148" s="6">
        <v>1244.79</v>
      </c>
      <c r="G148" s="6">
        <v>29253</v>
      </c>
      <c r="H148" s="10">
        <f>(Table7[[#This Row],[close]]-F147)/F147</f>
        <v>-1.6637042303590432E-2</v>
      </c>
    </row>
    <row r="149" spans="1:8" x14ac:dyDescent="0.3">
      <c r="A149" s="5">
        <v>45684</v>
      </c>
      <c r="B149" s="6" t="s">
        <v>29</v>
      </c>
      <c r="C149" s="6">
        <v>1225.94</v>
      </c>
      <c r="D149" s="6">
        <v>1237.76</v>
      </c>
      <c r="E149" s="6">
        <v>1214.1099999999999</v>
      </c>
      <c r="F149" s="6">
        <v>1235.1300000000001</v>
      </c>
      <c r="G149" s="6">
        <v>13219</v>
      </c>
      <c r="H149" s="10">
        <f>(Table7[[#This Row],[close]]-F148)/F148</f>
        <v>-7.7603451184535986E-3</v>
      </c>
    </row>
    <row r="150" spans="1:8" x14ac:dyDescent="0.3">
      <c r="A150" s="5">
        <v>45685</v>
      </c>
      <c r="B150" s="6" t="s">
        <v>29</v>
      </c>
      <c r="C150" s="6">
        <v>1235.55</v>
      </c>
      <c r="D150" s="6">
        <v>1248.8900000000001</v>
      </c>
      <c r="E150" s="6">
        <v>1222.2</v>
      </c>
      <c r="F150" s="6">
        <v>1225.25</v>
      </c>
      <c r="G150" s="6">
        <v>9567</v>
      </c>
      <c r="H150" s="10">
        <f>(Table7[[#This Row],[close]]-F149)/F149</f>
        <v>-7.99915798337026E-3</v>
      </c>
    </row>
    <row r="151" spans="1:8" x14ac:dyDescent="0.3">
      <c r="A151" s="5">
        <v>45686</v>
      </c>
      <c r="B151" s="6" t="s">
        <v>29</v>
      </c>
      <c r="C151" s="6">
        <v>1223.1099999999999</v>
      </c>
      <c r="D151" s="6">
        <v>1237.6199999999999</v>
      </c>
      <c r="E151" s="6">
        <v>1208.5899999999999</v>
      </c>
      <c r="F151" s="6">
        <v>1213.57</v>
      </c>
      <c r="G151" s="6">
        <v>9162</v>
      </c>
      <c r="H151" s="10">
        <f>(Table7[[#This Row],[close]]-F150)/F150</f>
        <v>-9.5327484186901144E-3</v>
      </c>
    </row>
    <row r="152" spans="1:8" x14ac:dyDescent="0.3">
      <c r="A152" s="5">
        <v>45687</v>
      </c>
      <c r="B152" s="6" t="s">
        <v>29</v>
      </c>
      <c r="C152" s="6">
        <v>1192.49</v>
      </c>
      <c r="D152" s="6">
        <v>1202.19</v>
      </c>
      <c r="E152" s="6">
        <v>1182.8</v>
      </c>
      <c r="F152" s="6">
        <v>1200.5899999999999</v>
      </c>
      <c r="G152" s="6">
        <v>44925</v>
      </c>
      <c r="H152" s="10">
        <f>(Table7[[#This Row],[close]]-F151)/F151</f>
        <v>-1.0695715945516137E-2</v>
      </c>
    </row>
    <row r="153" spans="1:8" x14ac:dyDescent="0.3">
      <c r="A153" s="5">
        <v>45688</v>
      </c>
      <c r="B153" s="6" t="s">
        <v>29</v>
      </c>
      <c r="C153" s="6">
        <v>1182.04</v>
      </c>
      <c r="D153" s="6">
        <v>1191.9100000000001</v>
      </c>
      <c r="E153" s="6">
        <v>1172.1600000000001</v>
      </c>
      <c r="F153" s="6">
        <v>1190.77</v>
      </c>
      <c r="G153" s="6">
        <v>42832</v>
      </c>
      <c r="H153" s="10">
        <f>(Table7[[#This Row],[close]]-F152)/F152</f>
        <v>-8.1793118383460938E-3</v>
      </c>
    </row>
    <row r="154" spans="1:8" x14ac:dyDescent="0.3">
      <c r="A154" s="5">
        <v>45691</v>
      </c>
      <c r="B154" s="6" t="s">
        <v>29</v>
      </c>
      <c r="C154" s="6">
        <v>1195.52</v>
      </c>
      <c r="D154" s="6">
        <v>1214.06</v>
      </c>
      <c r="E154" s="6">
        <v>1176.98</v>
      </c>
      <c r="F154" s="6">
        <v>1196.0999999999999</v>
      </c>
      <c r="G154" s="6">
        <v>22204</v>
      </c>
      <c r="H154" s="10">
        <f>(Table7[[#This Row],[close]]-F153)/F153</f>
        <v>4.4760952996799781E-3</v>
      </c>
    </row>
    <row r="155" spans="1:8" x14ac:dyDescent="0.3">
      <c r="A155" s="5">
        <v>45692</v>
      </c>
      <c r="B155" s="6" t="s">
        <v>29</v>
      </c>
      <c r="C155" s="6">
        <v>1203.27</v>
      </c>
      <c r="D155" s="6">
        <v>1208.3499999999999</v>
      </c>
      <c r="E155" s="6">
        <v>1198.19</v>
      </c>
      <c r="F155" s="6">
        <v>1203.8599999999999</v>
      </c>
      <c r="G155" s="6">
        <v>1077</v>
      </c>
      <c r="H155" s="10">
        <f>(Table7[[#This Row],[close]]-F154)/F154</f>
        <v>6.4877518602123501E-3</v>
      </c>
    </row>
    <row r="156" spans="1:8" x14ac:dyDescent="0.3">
      <c r="A156" s="5">
        <v>45693</v>
      </c>
      <c r="B156" s="6" t="s">
        <v>29</v>
      </c>
      <c r="C156" s="6">
        <v>1206.0999999999999</v>
      </c>
      <c r="D156" s="6">
        <v>1216.72</v>
      </c>
      <c r="E156" s="6">
        <v>1195.48</v>
      </c>
      <c r="F156" s="6">
        <v>1204.1300000000001</v>
      </c>
      <c r="G156" s="6">
        <v>15060</v>
      </c>
      <c r="H156" s="10">
        <f>(Table7[[#This Row],[close]]-F155)/F155</f>
        <v>2.2427857059808385E-4</v>
      </c>
    </row>
    <row r="157" spans="1:8" x14ac:dyDescent="0.3">
      <c r="A157" s="5">
        <v>45694</v>
      </c>
      <c r="B157" s="6" t="s">
        <v>29</v>
      </c>
      <c r="C157" s="6">
        <v>1196.83</v>
      </c>
      <c r="D157" s="6">
        <v>1212.06</v>
      </c>
      <c r="E157" s="6">
        <v>1181.5999999999999</v>
      </c>
      <c r="F157" s="6">
        <v>1197.97</v>
      </c>
      <c r="G157" s="6">
        <v>10510</v>
      </c>
      <c r="H157" s="10">
        <f>(Table7[[#This Row],[close]]-F156)/F156</f>
        <v>-5.1157267072492844E-3</v>
      </c>
    </row>
    <row r="158" spans="1:8" x14ac:dyDescent="0.3">
      <c r="A158" s="5">
        <v>45695</v>
      </c>
      <c r="B158" s="6" t="s">
        <v>29</v>
      </c>
      <c r="C158" s="6">
        <v>1215.4000000000001</v>
      </c>
      <c r="D158" s="6">
        <v>1235.04</v>
      </c>
      <c r="E158" s="6">
        <v>1195.75</v>
      </c>
      <c r="F158" s="6">
        <v>1217.6600000000001</v>
      </c>
      <c r="G158" s="6">
        <v>8804</v>
      </c>
      <c r="H158" s="10">
        <f>(Table7[[#This Row],[close]]-F157)/F157</f>
        <v>1.6436137799778004E-2</v>
      </c>
    </row>
    <row r="159" spans="1:8" x14ac:dyDescent="0.3">
      <c r="A159" s="5">
        <v>45698</v>
      </c>
      <c r="B159" s="6" t="s">
        <v>29</v>
      </c>
      <c r="C159" s="6">
        <v>1211.1199999999999</v>
      </c>
      <c r="D159" s="6">
        <v>1223.8800000000001</v>
      </c>
      <c r="E159" s="6">
        <v>1198.3599999999999</v>
      </c>
      <c r="F159" s="6">
        <v>1216.55</v>
      </c>
      <c r="G159" s="6">
        <v>19574</v>
      </c>
      <c r="H159" s="10">
        <f>(Table7[[#This Row],[close]]-F158)/F158</f>
        <v>-9.1158451456081931E-4</v>
      </c>
    </row>
    <row r="160" spans="1:8" x14ac:dyDescent="0.3">
      <c r="A160" s="5">
        <v>45699</v>
      </c>
      <c r="B160" s="6" t="s">
        <v>29</v>
      </c>
      <c r="C160" s="6">
        <v>1234.02</v>
      </c>
      <c r="D160" s="6">
        <v>1245.51</v>
      </c>
      <c r="E160" s="6">
        <v>1222.54</v>
      </c>
      <c r="F160" s="6">
        <v>1231.29</v>
      </c>
      <c r="G160" s="6">
        <v>12246</v>
      </c>
      <c r="H160" s="10">
        <f>(Table7[[#This Row],[close]]-F159)/F159</f>
        <v>1.2116230323455681E-2</v>
      </c>
    </row>
    <row r="161" spans="1:8" x14ac:dyDescent="0.3">
      <c r="A161" s="5">
        <v>45700</v>
      </c>
      <c r="B161" s="6" t="s">
        <v>29</v>
      </c>
      <c r="C161" s="6">
        <v>1220.83</v>
      </c>
      <c r="D161" s="6">
        <v>1232.17</v>
      </c>
      <c r="E161" s="6">
        <v>1209.49</v>
      </c>
      <c r="F161" s="6">
        <v>1222.78</v>
      </c>
      <c r="G161" s="6">
        <v>37455</v>
      </c>
      <c r="H161" s="10">
        <f>(Table7[[#This Row],[close]]-F160)/F160</f>
        <v>-6.9114505924680551E-3</v>
      </c>
    </row>
    <row r="162" spans="1:8" x14ac:dyDescent="0.3">
      <c r="A162" s="5">
        <v>45701</v>
      </c>
      <c r="B162" s="6" t="s">
        <v>29</v>
      </c>
      <c r="C162" s="6">
        <v>1225.5999999999999</v>
      </c>
      <c r="D162" s="6">
        <v>1235.0899999999999</v>
      </c>
      <c r="E162" s="6">
        <v>1216.1099999999999</v>
      </c>
      <c r="F162" s="6">
        <v>1229.46</v>
      </c>
      <c r="G162" s="6">
        <v>42157</v>
      </c>
      <c r="H162" s="10">
        <f>(Table7[[#This Row],[close]]-F161)/F161</f>
        <v>5.4629614485026444E-3</v>
      </c>
    </row>
    <row r="163" spans="1:8" x14ac:dyDescent="0.3">
      <c r="A163" s="5">
        <v>45702</v>
      </c>
      <c r="B163" s="6" t="s">
        <v>29</v>
      </c>
      <c r="C163" s="6">
        <v>1254.6300000000001</v>
      </c>
      <c r="D163" s="6">
        <v>1274.23</v>
      </c>
      <c r="E163" s="6">
        <v>1235.02</v>
      </c>
      <c r="F163" s="6">
        <v>1250.72</v>
      </c>
      <c r="G163" s="6">
        <v>25519</v>
      </c>
      <c r="H163" s="10">
        <f>(Table7[[#This Row],[close]]-F162)/F162</f>
        <v>1.7292144518731793E-2</v>
      </c>
    </row>
    <row r="164" spans="1:8" x14ac:dyDescent="0.3">
      <c r="A164" s="5">
        <v>45705</v>
      </c>
      <c r="B164" s="6" t="s">
        <v>29</v>
      </c>
      <c r="C164" s="6">
        <v>1216.95</v>
      </c>
      <c r="D164" s="6">
        <v>1227.3699999999999</v>
      </c>
      <c r="E164" s="6">
        <v>1206.54</v>
      </c>
      <c r="F164" s="6">
        <v>1210.57</v>
      </c>
      <c r="G164" s="6">
        <v>6788</v>
      </c>
      <c r="H164" s="10">
        <f>(Table7[[#This Row],[close]]-F163)/F163</f>
        <v>-3.2101509530510497E-2</v>
      </c>
    </row>
    <row r="165" spans="1:8" x14ac:dyDescent="0.3">
      <c r="A165" s="5">
        <v>45706</v>
      </c>
      <c r="B165" s="6" t="s">
        <v>29</v>
      </c>
      <c r="C165" s="6">
        <v>1197.95</v>
      </c>
      <c r="D165" s="6">
        <v>1212.81</v>
      </c>
      <c r="E165" s="6">
        <v>1183.0999999999999</v>
      </c>
      <c r="F165" s="6">
        <v>1200.9100000000001</v>
      </c>
      <c r="G165" s="6">
        <v>1922</v>
      </c>
      <c r="H165" s="10">
        <f>(Table7[[#This Row],[close]]-F164)/F164</f>
        <v>-7.9797120364785631E-3</v>
      </c>
    </row>
    <row r="166" spans="1:8" x14ac:dyDescent="0.3">
      <c r="A166" s="5">
        <v>45707</v>
      </c>
      <c r="B166" s="6" t="s">
        <v>29</v>
      </c>
      <c r="C166" s="6">
        <v>1217.92</v>
      </c>
      <c r="D166" s="6">
        <v>1229.3</v>
      </c>
      <c r="E166" s="6">
        <v>1206.54</v>
      </c>
      <c r="F166" s="6">
        <v>1210.21</v>
      </c>
      <c r="G166" s="6">
        <v>2120</v>
      </c>
      <c r="H166" s="10">
        <f>(Table7[[#This Row],[close]]-F165)/F165</f>
        <v>7.7441273700776525E-3</v>
      </c>
    </row>
    <row r="167" spans="1:8" x14ac:dyDescent="0.3">
      <c r="A167" s="5">
        <v>45708</v>
      </c>
      <c r="B167" s="6" t="s">
        <v>29</v>
      </c>
      <c r="C167" s="6">
        <v>1228.26</v>
      </c>
      <c r="D167" s="6">
        <v>1246.52</v>
      </c>
      <c r="E167" s="6">
        <v>1210</v>
      </c>
      <c r="F167" s="6">
        <v>1229.1400000000001</v>
      </c>
      <c r="G167" s="6">
        <v>3336</v>
      </c>
      <c r="H167" s="10">
        <f>(Table7[[#This Row],[close]]-F166)/F166</f>
        <v>1.5641913386932899E-2</v>
      </c>
    </row>
    <row r="168" spans="1:8" x14ac:dyDescent="0.3">
      <c r="A168" s="5">
        <v>45709</v>
      </c>
      <c r="B168" s="6" t="s">
        <v>29</v>
      </c>
      <c r="C168" s="6">
        <v>1225.97</v>
      </c>
      <c r="D168" s="6">
        <v>1233.4100000000001</v>
      </c>
      <c r="E168" s="6">
        <v>1218.53</v>
      </c>
      <c r="F168" s="6">
        <v>1232.58</v>
      </c>
      <c r="G168" s="6">
        <v>33265</v>
      </c>
      <c r="H168" s="10">
        <f>(Table7[[#This Row],[close]]-F167)/F167</f>
        <v>2.7987047854596114E-3</v>
      </c>
    </row>
    <row r="169" spans="1:8" x14ac:dyDescent="0.3">
      <c r="A169" s="5">
        <v>45712</v>
      </c>
      <c r="B169" s="6" t="s">
        <v>29</v>
      </c>
      <c r="C169" s="6">
        <v>1230.43</v>
      </c>
      <c r="D169" s="6">
        <v>1245.83</v>
      </c>
      <c r="E169" s="6">
        <v>1215.03</v>
      </c>
      <c r="F169" s="6">
        <v>1233.6500000000001</v>
      </c>
      <c r="G169" s="6">
        <v>47197</v>
      </c>
      <c r="H169" s="10">
        <f>(Table7[[#This Row],[close]]-F168)/F168</f>
        <v>8.6809781109555874E-4</v>
      </c>
    </row>
    <row r="170" spans="1:8" x14ac:dyDescent="0.3">
      <c r="A170" s="5">
        <v>45713</v>
      </c>
      <c r="B170" s="6" t="s">
        <v>29</v>
      </c>
      <c r="C170" s="6">
        <v>1268.18</v>
      </c>
      <c r="D170" s="6">
        <v>1279.92</v>
      </c>
      <c r="E170" s="6">
        <v>1256.45</v>
      </c>
      <c r="F170" s="6">
        <v>1259.23</v>
      </c>
      <c r="G170" s="6">
        <v>7371</v>
      </c>
      <c r="H170" s="10">
        <f>(Table7[[#This Row],[close]]-F169)/F169</f>
        <v>2.0735216633566998E-2</v>
      </c>
    </row>
    <row r="171" spans="1:8" x14ac:dyDescent="0.3">
      <c r="A171" s="5">
        <v>45714</v>
      </c>
      <c r="B171" s="6" t="s">
        <v>29</v>
      </c>
      <c r="C171" s="6">
        <v>1278.03</v>
      </c>
      <c r="D171" s="6">
        <v>1291.6099999999999</v>
      </c>
      <c r="E171" s="6">
        <v>1264.45</v>
      </c>
      <c r="F171" s="6">
        <v>1279.9100000000001</v>
      </c>
      <c r="G171" s="6">
        <v>36996</v>
      </c>
      <c r="H171" s="10">
        <f>(Table7[[#This Row],[close]]-F170)/F170</f>
        <v>1.6422734528243502E-2</v>
      </c>
    </row>
    <row r="172" spans="1:8" x14ac:dyDescent="0.3">
      <c r="A172" s="5">
        <v>45715</v>
      </c>
      <c r="B172" s="6" t="s">
        <v>29</v>
      </c>
      <c r="C172" s="6">
        <v>1266.96</v>
      </c>
      <c r="D172" s="6">
        <v>1279.96</v>
      </c>
      <c r="E172" s="6">
        <v>1253.97</v>
      </c>
      <c r="F172" s="6">
        <v>1266.29</v>
      </c>
      <c r="G172" s="6">
        <v>19755</v>
      </c>
      <c r="H172" s="10">
        <f>(Table7[[#This Row],[close]]-F171)/F171</f>
        <v>-1.0641373221554732E-2</v>
      </c>
    </row>
    <row r="173" spans="1:8" x14ac:dyDescent="0.3">
      <c r="A173" s="5">
        <v>45716</v>
      </c>
      <c r="B173" s="6" t="s">
        <v>29</v>
      </c>
      <c r="C173" s="6">
        <v>1268.47</v>
      </c>
      <c r="D173" s="6">
        <v>1286.77</v>
      </c>
      <c r="E173" s="6">
        <v>1250.18</v>
      </c>
      <c r="F173" s="6">
        <v>1268.45</v>
      </c>
      <c r="G173" s="6">
        <v>17478</v>
      </c>
      <c r="H173" s="10">
        <f>(Table7[[#This Row],[close]]-F172)/F172</f>
        <v>1.7057704001453712E-3</v>
      </c>
    </row>
    <row r="174" spans="1:8" x14ac:dyDescent="0.3">
      <c r="A174" s="5">
        <v>45719</v>
      </c>
      <c r="B174" s="6" t="s">
        <v>29</v>
      </c>
      <c r="C174" s="6">
        <v>1274.94</v>
      </c>
      <c r="D174" s="6">
        <v>1289.77</v>
      </c>
      <c r="E174" s="6">
        <v>1260.0999999999999</v>
      </c>
      <c r="F174" s="6">
        <v>1274.52</v>
      </c>
      <c r="G174" s="6">
        <v>34561</v>
      </c>
      <c r="H174" s="10">
        <f>(Table7[[#This Row],[close]]-F173)/F173</f>
        <v>4.7853679687807453E-3</v>
      </c>
    </row>
    <row r="175" spans="1:8" x14ac:dyDescent="0.3">
      <c r="A175" s="5">
        <v>45720</v>
      </c>
      <c r="B175" s="6" t="s">
        <v>29</v>
      </c>
      <c r="C175" s="6">
        <v>1301.5</v>
      </c>
      <c r="D175" s="6">
        <v>1309.29</v>
      </c>
      <c r="E175" s="6">
        <v>1293.72</v>
      </c>
      <c r="F175" s="6">
        <v>1302.73</v>
      </c>
      <c r="G175" s="6">
        <v>13298</v>
      </c>
      <c r="H175" s="10">
        <f>(Table7[[#This Row],[close]]-F174)/F174</f>
        <v>2.2133822929416593E-2</v>
      </c>
    </row>
    <row r="176" spans="1:8" x14ac:dyDescent="0.3">
      <c r="A176" s="5">
        <v>45721</v>
      </c>
      <c r="B176" s="6" t="s">
        <v>29</v>
      </c>
      <c r="C176" s="6">
        <v>1325.45</v>
      </c>
      <c r="D176" s="6">
        <v>1342.6</v>
      </c>
      <c r="E176" s="6">
        <v>1308.31</v>
      </c>
      <c r="F176" s="6">
        <v>1317.33</v>
      </c>
      <c r="G176" s="6">
        <v>45165</v>
      </c>
      <c r="H176" s="10">
        <f>(Table7[[#This Row],[close]]-F175)/F175</f>
        <v>1.1207234039286659E-2</v>
      </c>
    </row>
    <row r="177" spans="1:8" x14ac:dyDescent="0.3">
      <c r="A177" s="5">
        <v>45722</v>
      </c>
      <c r="B177" s="6" t="s">
        <v>29</v>
      </c>
      <c r="C177" s="6">
        <v>1315.12</v>
      </c>
      <c r="D177" s="6">
        <v>1326.48</v>
      </c>
      <c r="E177" s="6">
        <v>1303.77</v>
      </c>
      <c r="F177" s="6">
        <v>1315.93</v>
      </c>
      <c r="G177" s="6">
        <v>11541</v>
      </c>
      <c r="H177" s="10">
        <f>(Table7[[#This Row],[close]]-F176)/F176</f>
        <v>-1.0627557255963682E-3</v>
      </c>
    </row>
    <row r="178" spans="1:8" x14ac:dyDescent="0.3">
      <c r="A178" s="5">
        <v>45723</v>
      </c>
      <c r="B178" s="6" t="s">
        <v>29</v>
      </c>
      <c r="C178" s="6">
        <v>1315.98</v>
      </c>
      <c r="D178" s="6">
        <v>1336.13</v>
      </c>
      <c r="E178" s="6">
        <v>1295.82</v>
      </c>
      <c r="F178" s="6">
        <v>1319.9</v>
      </c>
      <c r="G178" s="6">
        <v>8783</v>
      </c>
      <c r="H178" s="10">
        <f>(Table7[[#This Row],[close]]-F177)/F177</f>
        <v>3.0168777974512529E-3</v>
      </c>
    </row>
    <row r="179" spans="1:8" x14ac:dyDescent="0.3">
      <c r="A179" s="5">
        <v>45726</v>
      </c>
      <c r="B179" s="6" t="s">
        <v>29</v>
      </c>
      <c r="C179" s="6">
        <v>1287.8800000000001</v>
      </c>
      <c r="D179" s="6">
        <v>1302.29</v>
      </c>
      <c r="E179" s="6">
        <v>1273.48</v>
      </c>
      <c r="F179" s="6">
        <v>1289.24</v>
      </c>
      <c r="G179" s="6">
        <v>27215</v>
      </c>
      <c r="H179" s="10">
        <f>(Table7[[#This Row],[close]]-F178)/F178</f>
        <v>-2.3229032502462367E-2</v>
      </c>
    </row>
    <row r="180" spans="1:8" x14ac:dyDescent="0.3">
      <c r="A180" s="5">
        <v>45727</v>
      </c>
      <c r="B180" s="6" t="s">
        <v>29</v>
      </c>
      <c r="C180" s="6">
        <v>1304.5999999999999</v>
      </c>
      <c r="D180" s="6">
        <v>1328.15</v>
      </c>
      <c r="E180" s="6">
        <v>1281.05</v>
      </c>
      <c r="F180" s="6">
        <v>1305.3800000000001</v>
      </c>
      <c r="G180" s="6">
        <v>38219</v>
      </c>
      <c r="H180" s="10">
        <f>(Table7[[#This Row],[close]]-F179)/F179</f>
        <v>1.2519003443889501E-2</v>
      </c>
    </row>
    <row r="181" spans="1:8" x14ac:dyDescent="0.3">
      <c r="A181" s="5">
        <v>45728</v>
      </c>
      <c r="B181" s="6" t="s">
        <v>29</v>
      </c>
      <c r="C181" s="6">
        <v>1318.05</v>
      </c>
      <c r="D181" s="6">
        <v>1340.55</v>
      </c>
      <c r="E181" s="6">
        <v>1295.56</v>
      </c>
      <c r="F181" s="6">
        <v>1316.36</v>
      </c>
      <c r="G181" s="6">
        <v>39727</v>
      </c>
      <c r="H181" s="10">
        <f>(Table7[[#This Row],[close]]-F180)/F180</f>
        <v>8.4113438232543709E-3</v>
      </c>
    </row>
    <row r="182" spans="1:8" x14ac:dyDescent="0.3">
      <c r="A182" s="5">
        <v>45729</v>
      </c>
      <c r="B182" s="6" t="s">
        <v>29</v>
      </c>
      <c r="C182" s="6">
        <v>1335.33</v>
      </c>
      <c r="D182" s="6">
        <v>1354.35</v>
      </c>
      <c r="E182" s="6">
        <v>1316.31</v>
      </c>
      <c r="F182" s="6">
        <v>1336.94</v>
      </c>
      <c r="G182" s="6">
        <v>45409</v>
      </c>
      <c r="H182" s="10">
        <f>(Table7[[#This Row],[close]]-F181)/F181</f>
        <v>1.5634021088456164E-2</v>
      </c>
    </row>
    <row r="183" spans="1:8" x14ac:dyDescent="0.3">
      <c r="A183" s="5">
        <v>45730</v>
      </c>
      <c r="B183" s="6" t="s">
        <v>29</v>
      </c>
      <c r="C183" s="6">
        <v>1334.72</v>
      </c>
      <c r="D183" s="6">
        <v>1336.67</v>
      </c>
      <c r="E183" s="6">
        <v>1332.77</v>
      </c>
      <c r="F183" s="6">
        <v>1334.83</v>
      </c>
      <c r="G183" s="6">
        <v>45327</v>
      </c>
      <c r="H183" s="10">
        <f>(Table7[[#This Row],[close]]-F182)/F182</f>
        <v>-1.5782308854549397E-3</v>
      </c>
    </row>
    <row r="184" spans="1:8" x14ac:dyDescent="0.3">
      <c r="A184" s="5">
        <v>45733</v>
      </c>
      <c r="B184" s="6" t="s">
        <v>29</v>
      </c>
      <c r="C184" s="6">
        <v>1336.36</v>
      </c>
      <c r="D184" s="6">
        <v>1359.78</v>
      </c>
      <c r="E184" s="6">
        <v>1312.95</v>
      </c>
      <c r="F184" s="6">
        <v>1337.3</v>
      </c>
      <c r="G184" s="6">
        <v>35560</v>
      </c>
      <c r="H184" s="10">
        <f>(Table7[[#This Row],[close]]-F183)/F183</f>
        <v>1.8504229002944401E-3</v>
      </c>
    </row>
    <row r="185" spans="1:8" x14ac:dyDescent="0.3">
      <c r="A185" s="5">
        <v>45734</v>
      </c>
      <c r="B185" s="6" t="s">
        <v>29</v>
      </c>
      <c r="C185" s="6">
        <v>1317.95</v>
      </c>
      <c r="D185" s="6">
        <v>1332.55</v>
      </c>
      <c r="E185" s="6">
        <v>1303.3499999999999</v>
      </c>
      <c r="F185" s="6">
        <v>1329.54</v>
      </c>
      <c r="G185" s="6">
        <v>2645</v>
      </c>
      <c r="H185" s="10">
        <f>(Table7[[#This Row],[close]]-F184)/F184</f>
        <v>-5.8027368578478962E-3</v>
      </c>
    </row>
    <row r="186" spans="1:8" x14ac:dyDescent="0.3">
      <c r="A186" s="5">
        <v>45735</v>
      </c>
      <c r="B186" s="6" t="s">
        <v>29</v>
      </c>
      <c r="C186" s="6">
        <v>1302.22</v>
      </c>
      <c r="D186" s="6">
        <v>1315.64</v>
      </c>
      <c r="E186" s="6">
        <v>1288.8</v>
      </c>
      <c r="F186" s="6">
        <v>1310.76</v>
      </c>
      <c r="G186" s="6">
        <v>36840</v>
      </c>
      <c r="H186" s="10">
        <f>(Table7[[#This Row],[close]]-F185)/F185</f>
        <v>-1.4125186154609845E-2</v>
      </c>
    </row>
    <row r="187" spans="1:8" x14ac:dyDescent="0.3">
      <c r="A187" s="5">
        <v>45736</v>
      </c>
      <c r="B187" s="6" t="s">
        <v>29</v>
      </c>
      <c r="C187" s="6">
        <v>1305.72</v>
      </c>
      <c r="D187" s="6">
        <v>1323.79</v>
      </c>
      <c r="E187" s="6">
        <v>1287.6600000000001</v>
      </c>
      <c r="F187" s="6">
        <v>1301.1600000000001</v>
      </c>
      <c r="G187" s="6">
        <v>3708</v>
      </c>
      <c r="H187" s="10">
        <f>(Table7[[#This Row],[close]]-F186)/F186</f>
        <v>-7.323995239403025E-3</v>
      </c>
    </row>
    <row r="188" spans="1:8" x14ac:dyDescent="0.3">
      <c r="A188" s="5">
        <v>45737</v>
      </c>
      <c r="B188" s="6" t="s">
        <v>29</v>
      </c>
      <c r="C188" s="6">
        <v>1267.33</v>
      </c>
      <c r="D188" s="6">
        <v>1281.6199999999999</v>
      </c>
      <c r="E188" s="6">
        <v>1253.04</v>
      </c>
      <c r="F188" s="6">
        <v>1271.97</v>
      </c>
      <c r="G188" s="6">
        <v>40224</v>
      </c>
      <c r="H188" s="10">
        <f>(Table7[[#This Row],[close]]-F187)/F187</f>
        <v>-2.2433828276307334E-2</v>
      </c>
    </row>
    <row r="189" spans="1:8" x14ac:dyDescent="0.3">
      <c r="A189" s="5">
        <v>45740</v>
      </c>
      <c r="B189" s="6" t="s">
        <v>29</v>
      </c>
      <c r="C189" s="6">
        <v>1282.79</v>
      </c>
      <c r="D189" s="6">
        <v>1287.1400000000001</v>
      </c>
      <c r="E189" s="6">
        <v>1278.44</v>
      </c>
      <c r="F189" s="6">
        <v>1287.02</v>
      </c>
      <c r="G189" s="6">
        <v>26150</v>
      </c>
      <c r="H189" s="10">
        <f>(Table7[[#This Row],[close]]-F188)/F188</f>
        <v>1.1832040063837947E-2</v>
      </c>
    </row>
    <row r="190" spans="1:8" x14ac:dyDescent="0.3">
      <c r="A190" s="5">
        <v>45741</v>
      </c>
      <c r="B190" s="6" t="s">
        <v>29</v>
      </c>
      <c r="C190" s="6">
        <v>1246.9100000000001</v>
      </c>
      <c r="D190" s="6">
        <v>1262.92</v>
      </c>
      <c r="E190" s="6">
        <v>1230.9000000000001</v>
      </c>
      <c r="F190" s="6">
        <v>1252.53</v>
      </c>
      <c r="G190" s="6">
        <v>8973</v>
      </c>
      <c r="H190" s="10">
        <f>(Table7[[#This Row],[close]]-F189)/F189</f>
        <v>-2.6798340352131286E-2</v>
      </c>
    </row>
    <row r="191" spans="1:8" x14ac:dyDescent="0.3">
      <c r="A191" s="5">
        <v>45742</v>
      </c>
      <c r="B191" s="6" t="s">
        <v>29</v>
      </c>
      <c r="C191" s="6">
        <v>1285.31</v>
      </c>
      <c r="D191" s="6">
        <v>1294.23</v>
      </c>
      <c r="E191" s="6">
        <v>1276.4000000000001</v>
      </c>
      <c r="F191" s="6">
        <v>1285.32</v>
      </c>
      <c r="G191" s="6">
        <v>37368</v>
      </c>
      <c r="H191" s="10">
        <f>(Table7[[#This Row],[close]]-F190)/F190</f>
        <v>2.6179013676319102E-2</v>
      </c>
    </row>
    <row r="192" spans="1:8" x14ac:dyDescent="0.3">
      <c r="A192" s="5">
        <v>45743</v>
      </c>
      <c r="B192" s="6" t="s">
        <v>29</v>
      </c>
      <c r="C192" s="6">
        <v>1264.3399999999999</v>
      </c>
      <c r="D192" s="6">
        <v>1272.1300000000001</v>
      </c>
      <c r="E192" s="6">
        <v>1256.54</v>
      </c>
      <c r="F192" s="6">
        <v>1257.3699999999999</v>
      </c>
      <c r="G192" s="6">
        <v>14490</v>
      </c>
      <c r="H192" s="10">
        <f>(Table7[[#This Row],[close]]-F191)/F191</f>
        <v>-2.1745557526530394E-2</v>
      </c>
    </row>
    <row r="193" spans="1:8" x14ac:dyDescent="0.3">
      <c r="A193" s="5">
        <v>45744</v>
      </c>
      <c r="B193" s="6" t="s">
        <v>29</v>
      </c>
      <c r="C193" s="6">
        <v>1277.44</v>
      </c>
      <c r="D193" s="6">
        <v>1288.02</v>
      </c>
      <c r="E193" s="6">
        <v>1266.8499999999999</v>
      </c>
      <c r="F193" s="6">
        <v>1281.6600000000001</v>
      </c>
      <c r="G193" s="6">
        <v>6299</v>
      </c>
      <c r="H193" s="10">
        <f>(Table7[[#This Row],[close]]-F192)/F192</f>
        <v>1.9318100479572595E-2</v>
      </c>
    </row>
    <row r="194" spans="1:8" x14ac:dyDescent="0.3">
      <c r="A194" s="5">
        <v>45747</v>
      </c>
      <c r="B194" s="6" t="s">
        <v>29</v>
      </c>
      <c r="C194" s="6">
        <v>1261.0999999999999</v>
      </c>
      <c r="D194" s="6">
        <v>1278</v>
      </c>
      <c r="E194" s="6">
        <v>1244.19</v>
      </c>
      <c r="F194" s="6">
        <v>1267.3800000000001</v>
      </c>
      <c r="G194" s="6">
        <v>38148</v>
      </c>
      <c r="H194" s="10">
        <f>(Table7[[#This Row],[close]]-F193)/F193</f>
        <v>-1.1141800477505712E-2</v>
      </c>
    </row>
    <row r="195" spans="1:8" x14ac:dyDescent="0.3">
      <c r="A195" s="5">
        <v>45748</v>
      </c>
      <c r="B195" s="6" t="s">
        <v>29</v>
      </c>
      <c r="C195" s="6">
        <v>1276.02</v>
      </c>
      <c r="D195" s="6">
        <v>1291.5</v>
      </c>
      <c r="E195" s="6">
        <v>1260.53</v>
      </c>
      <c r="F195" s="6">
        <v>1276.68</v>
      </c>
      <c r="G195" s="6">
        <v>11395</v>
      </c>
      <c r="H195" s="10">
        <f>(Table7[[#This Row],[close]]-F194)/F194</f>
        <v>7.3379728258296277E-3</v>
      </c>
    </row>
    <row r="196" spans="1:8" x14ac:dyDescent="0.3">
      <c r="A196" s="5">
        <v>45749</v>
      </c>
      <c r="B196" s="6" t="s">
        <v>29</v>
      </c>
      <c r="C196" s="6">
        <v>1261.1099999999999</v>
      </c>
      <c r="D196" s="6">
        <v>1270.31</v>
      </c>
      <c r="E196" s="6">
        <v>1251.9000000000001</v>
      </c>
      <c r="F196" s="6">
        <v>1264.93</v>
      </c>
      <c r="G196" s="6">
        <v>5944</v>
      </c>
      <c r="H196" s="10">
        <f>(Table7[[#This Row],[close]]-F195)/F195</f>
        <v>-9.2035592317573703E-3</v>
      </c>
    </row>
    <row r="197" spans="1:8" x14ac:dyDescent="0.3">
      <c r="A197" s="5">
        <v>45750</v>
      </c>
      <c r="B197" s="6" t="s">
        <v>29</v>
      </c>
      <c r="C197" s="6">
        <v>1302.7</v>
      </c>
      <c r="D197" s="6">
        <v>1317.04</v>
      </c>
      <c r="E197" s="6">
        <v>1288.3599999999999</v>
      </c>
      <c r="F197" s="6">
        <v>1292.2</v>
      </c>
      <c r="G197" s="6">
        <v>25917</v>
      </c>
      <c r="H197" s="10">
        <f>(Table7[[#This Row],[close]]-F196)/F196</f>
        <v>2.1558505213727226E-2</v>
      </c>
    </row>
    <row r="198" spans="1:8" x14ac:dyDescent="0.3">
      <c r="A198" s="5">
        <v>45751</v>
      </c>
      <c r="B198" s="6" t="s">
        <v>29</v>
      </c>
      <c r="C198" s="6">
        <v>1281.43</v>
      </c>
      <c r="D198" s="6">
        <v>1295.42</v>
      </c>
      <c r="E198" s="6">
        <v>1267.43</v>
      </c>
      <c r="F198" s="6">
        <v>1293.22</v>
      </c>
      <c r="G198" s="6">
        <v>21806</v>
      </c>
      <c r="H198" s="10">
        <f>(Table7[[#This Row],[close]]-F197)/F197</f>
        <v>7.8935149357683163E-4</v>
      </c>
    </row>
    <row r="199" spans="1:8" x14ac:dyDescent="0.3">
      <c r="A199" s="5">
        <v>45754</v>
      </c>
      <c r="B199" s="6" t="s">
        <v>29</v>
      </c>
      <c r="C199" s="6">
        <v>1318.07</v>
      </c>
      <c r="D199" s="6">
        <v>1326.75</v>
      </c>
      <c r="E199" s="6">
        <v>1309.3800000000001</v>
      </c>
      <c r="F199" s="6">
        <v>1311.14</v>
      </c>
      <c r="G199" s="6">
        <v>27838</v>
      </c>
      <c r="H199" s="10">
        <f>(Table7[[#This Row],[close]]-F198)/F198</f>
        <v>1.3856884366155854E-2</v>
      </c>
    </row>
    <row r="200" spans="1:8" x14ac:dyDescent="0.3">
      <c r="A200" s="5">
        <v>45755</v>
      </c>
      <c r="B200" s="6" t="s">
        <v>29</v>
      </c>
      <c r="C200" s="6">
        <v>1307.81</v>
      </c>
      <c r="D200" s="6">
        <v>1323.92</v>
      </c>
      <c r="E200" s="6">
        <v>1291.71</v>
      </c>
      <c r="F200" s="6">
        <v>1312.71</v>
      </c>
      <c r="G200" s="6">
        <v>28965</v>
      </c>
      <c r="H200" s="10">
        <f>(Table7[[#This Row],[close]]-F199)/F199</f>
        <v>1.197431243040359E-3</v>
      </c>
    </row>
    <row r="201" spans="1:8" x14ac:dyDescent="0.3">
      <c r="A201" s="5">
        <v>45756</v>
      </c>
      <c r="B201" s="6" t="s">
        <v>29</v>
      </c>
      <c r="C201" s="6">
        <v>1319.07</v>
      </c>
      <c r="D201" s="6">
        <v>1324.29</v>
      </c>
      <c r="E201" s="6">
        <v>1313.85</v>
      </c>
      <c r="F201" s="6">
        <v>1318.88</v>
      </c>
      <c r="G201" s="6">
        <v>21908</v>
      </c>
      <c r="H201" s="10">
        <f>(Table7[[#This Row],[close]]-F200)/F200</f>
        <v>4.7002003488966129E-3</v>
      </c>
    </row>
    <row r="202" spans="1:8" x14ac:dyDescent="0.3">
      <c r="A202" s="5">
        <v>45757</v>
      </c>
      <c r="B202" s="6" t="s">
        <v>29</v>
      </c>
      <c r="C202" s="6">
        <v>1323.37</v>
      </c>
      <c r="D202" s="6">
        <v>1339.51</v>
      </c>
      <c r="E202" s="6">
        <v>1307.23</v>
      </c>
      <c r="F202" s="6">
        <v>1329.47</v>
      </c>
      <c r="G202" s="6">
        <v>24570</v>
      </c>
      <c r="H202" s="10">
        <f>(Table7[[#This Row],[close]]-F201)/F201</f>
        <v>8.0295402159407357E-3</v>
      </c>
    </row>
    <row r="203" spans="1:8" x14ac:dyDescent="0.3">
      <c r="A203" s="5">
        <v>45758</v>
      </c>
      <c r="B203" s="6" t="s">
        <v>29</v>
      </c>
      <c r="C203" s="6">
        <v>1311.58</v>
      </c>
      <c r="D203" s="6">
        <v>1322.69</v>
      </c>
      <c r="E203" s="6">
        <v>1300.47</v>
      </c>
      <c r="F203" s="6">
        <v>1320.96</v>
      </c>
      <c r="G203" s="6">
        <v>49302</v>
      </c>
      <c r="H203" s="10">
        <f>(Table7[[#This Row],[close]]-F202)/F202</f>
        <v>-6.4010470337803717E-3</v>
      </c>
    </row>
    <row r="204" spans="1:8" x14ac:dyDescent="0.3">
      <c r="A204" s="5">
        <v>45761</v>
      </c>
      <c r="B204" s="6" t="s">
        <v>29</v>
      </c>
      <c r="C204" s="6">
        <v>1300.04</v>
      </c>
      <c r="D204" s="6">
        <v>1313.85</v>
      </c>
      <c r="E204" s="6">
        <v>1286.23</v>
      </c>
      <c r="F204" s="6">
        <v>1300.1300000000001</v>
      </c>
      <c r="G204" s="6">
        <v>39000</v>
      </c>
      <c r="H204" s="10">
        <f>(Table7[[#This Row],[close]]-F203)/F203</f>
        <v>-1.5768834786821648E-2</v>
      </c>
    </row>
    <row r="205" spans="1:8" x14ac:dyDescent="0.3">
      <c r="A205" s="5">
        <v>45762</v>
      </c>
      <c r="B205" s="6" t="s">
        <v>29</v>
      </c>
      <c r="C205" s="6">
        <v>1277.26</v>
      </c>
      <c r="D205" s="6">
        <v>1289.54</v>
      </c>
      <c r="E205" s="6">
        <v>1264.97</v>
      </c>
      <c r="F205" s="6">
        <v>1279.29</v>
      </c>
      <c r="G205" s="6">
        <v>13342</v>
      </c>
      <c r="H205" s="10">
        <f>(Table7[[#This Row],[close]]-F204)/F204</f>
        <v>-1.6029166314137928E-2</v>
      </c>
    </row>
    <row r="206" spans="1:8" x14ac:dyDescent="0.3">
      <c r="A206" s="5">
        <v>45763</v>
      </c>
      <c r="B206" s="6" t="s">
        <v>29</v>
      </c>
      <c r="C206" s="6">
        <v>1287.75</v>
      </c>
      <c r="D206" s="6">
        <v>1304.6400000000001</v>
      </c>
      <c r="E206" s="6">
        <v>1270.8499999999999</v>
      </c>
      <c r="F206" s="6">
        <v>1280.4100000000001</v>
      </c>
      <c r="G206" s="6">
        <v>35249</v>
      </c>
      <c r="H206" s="10">
        <f>(Table7[[#This Row],[close]]-F205)/F205</f>
        <v>8.754856209304523E-4</v>
      </c>
    </row>
    <row r="207" spans="1:8" x14ac:dyDescent="0.3">
      <c r="A207" s="5">
        <v>45764</v>
      </c>
      <c r="B207" s="6" t="s">
        <v>29</v>
      </c>
      <c r="C207" s="6">
        <v>1277.58</v>
      </c>
      <c r="D207" s="6">
        <v>1295.7</v>
      </c>
      <c r="E207" s="6">
        <v>1259.45</v>
      </c>
      <c r="F207" s="6">
        <v>1272.8599999999999</v>
      </c>
      <c r="G207" s="6">
        <v>48190</v>
      </c>
      <c r="H207" s="10">
        <f>(Table7[[#This Row],[close]]-F206)/F206</f>
        <v>-5.8965487617249016E-3</v>
      </c>
    </row>
    <row r="208" spans="1:8" x14ac:dyDescent="0.3">
      <c r="A208" s="5">
        <v>45765</v>
      </c>
      <c r="B208" s="6" t="s">
        <v>29</v>
      </c>
      <c r="C208" s="6">
        <v>1240.93</v>
      </c>
      <c r="D208" s="6">
        <v>1263.46</v>
      </c>
      <c r="E208" s="6">
        <v>1218.3900000000001</v>
      </c>
      <c r="F208" s="6">
        <v>1239.2</v>
      </c>
      <c r="G208" s="6">
        <v>20846</v>
      </c>
      <c r="H208" s="10">
        <f>(Table7[[#This Row],[close]]-F207)/F207</f>
        <v>-2.6444385085555251E-2</v>
      </c>
    </row>
    <row r="209" spans="1:8" x14ac:dyDescent="0.3">
      <c r="A209" s="5">
        <v>45768</v>
      </c>
      <c r="B209" s="6" t="s">
        <v>29</v>
      </c>
      <c r="C209" s="6">
        <v>1255.42</v>
      </c>
      <c r="D209" s="6">
        <v>1263.97</v>
      </c>
      <c r="E209" s="6">
        <v>1246.8599999999999</v>
      </c>
      <c r="F209" s="6">
        <v>1247.53</v>
      </c>
      <c r="G209" s="6">
        <v>11998</v>
      </c>
      <c r="H209" s="10">
        <f>(Table7[[#This Row],[close]]-F208)/F208</f>
        <v>6.7220787604905805E-3</v>
      </c>
    </row>
    <row r="210" spans="1:8" x14ac:dyDescent="0.3">
      <c r="A210" s="5">
        <v>45769</v>
      </c>
      <c r="B210" s="6" t="s">
        <v>29</v>
      </c>
      <c r="C210" s="6">
        <v>1229.53</v>
      </c>
      <c r="D210" s="6">
        <v>1235.06</v>
      </c>
      <c r="E210" s="6">
        <v>1224</v>
      </c>
      <c r="F210" s="6">
        <v>1228.82</v>
      </c>
      <c r="G210" s="6">
        <v>9519</v>
      </c>
      <c r="H210" s="10">
        <f>(Table7[[#This Row],[close]]-F209)/F209</f>
        <v>-1.4997635327406986E-2</v>
      </c>
    </row>
    <row r="211" spans="1:8" x14ac:dyDescent="0.3">
      <c r="A211" s="5">
        <v>45770</v>
      </c>
      <c r="B211" s="6" t="s">
        <v>29</v>
      </c>
      <c r="C211" s="6">
        <v>1202.8499999999999</v>
      </c>
      <c r="D211" s="6">
        <v>1213.8</v>
      </c>
      <c r="E211" s="6">
        <v>1191.9000000000001</v>
      </c>
      <c r="F211" s="6">
        <v>1211.28</v>
      </c>
      <c r="G211" s="6">
        <v>7722</v>
      </c>
      <c r="H211" s="10">
        <f>(Table7[[#This Row],[close]]-F210)/F210</f>
        <v>-1.4273856219788061E-2</v>
      </c>
    </row>
    <row r="212" spans="1:8" x14ac:dyDescent="0.3">
      <c r="A212" s="5">
        <v>45771</v>
      </c>
      <c r="B212" s="6" t="s">
        <v>29</v>
      </c>
      <c r="C212" s="6">
        <v>1214.93</v>
      </c>
      <c r="D212" s="6">
        <v>1232.42</v>
      </c>
      <c r="E212" s="6">
        <v>1197.45</v>
      </c>
      <c r="F212" s="6">
        <v>1210.93</v>
      </c>
      <c r="G212" s="6">
        <v>14575</v>
      </c>
      <c r="H212" s="10">
        <f>(Table7[[#This Row],[close]]-F211)/F211</f>
        <v>-2.8895053166890319E-4</v>
      </c>
    </row>
    <row r="213" spans="1:8" x14ac:dyDescent="0.3">
      <c r="A213" s="5">
        <v>45772</v>
      </c>
      <c r="B213" s="6" t="s">
        <v>29</v>
      </c>
      <c r="C213" s="6">
        <v>1195.8399999999999</v>
      </c>
      <c r="D213" s="6">
        <v>1199.94</v>
      </c>
      <c r="E213" s="6">
        <v>1191.73</v>
      </c>
      <c r="F213" s="6">
        <v>1197.56</v>
      </c>
      <c r="G213" s="6">
        <v>32821</v>
      </c>
      <c r="H213" s="10">
        <f>(Table7[[#This Row],[close]]-F212)/F212</f>
        <v>-1.1041100641655683E-2</v>
      </c>
    </row>
    <row r="214" spans="1:8" x14ac:dyDescent="0.3">
      <c r="A214" s="5">
        <v>45775</v>
      </c>
      <c r="B214" s="6" t="s">
        <v>29</v>
      </c>
      <c r="C214" s="6">
        <v>1197.25</v>
      </c>
      <c r="D214" s="6">
        <v>1214.17</v>
      </c>
      <c r="E214" s="6">
        <v>1180.33</v>
      </c>
      <c r="F214" s="6">
        <v>1199.69</v>
      </c>
      <c r="G214" s="6">
        <v>13175</v>
      </c>
      <c r="H214" s="10">
        <f>(Table7[[#This Row],[close]]-F213)/F213</f>
        <v>1.7786165202579489E-3</v>
      </c>
    </row>
    <row r="215" spans="1:8" x14ac:dyDescent="0.3">
      <c r="A215" s="5">
        <v>45776</v>
      </c>
      <c r="B215" s="6" t="s">
        <v>29</v>
      </c>
      <c r="C215" s="6">
        <v>1226.8599999999999</v>
      </c>
      <c r="D215" s="6">
        <v>1239.96</v>
      </c>
      <c r="E215" s="6">
        <v>1213.75</v>
      </c>
      <c r="F215" s="6">
        <v>1230.19</v>
      </c>
      <c r="G215" s="6">
        <v>22389</v>
      </c>
      <c r="H215" s="10">
        <f>(Table7[[#This Row],[close]]-F214)/F214</f>
        <v>2.5423234335536678E-2</v>
      </c>
    </row>
    <row r="216" spans="1:8" x14ac:dyDescent="0.3">
      <c r="A216" s="5">
        <v>45777</v>
      </c>
      <c r="B216" s="6" t="s">
        <v>29</v>
      </c>
      <c r="C216" s="6">
        <v>1217.23</v>
      </c>
      <c r="D216" s="6">
        <v>1231.8</v>
      </c>
      <c r="E216" s="6">
        <v>1202.67</v>
      </c>
      <c r="F216" s="6">
        <v>1224.6199999999999</v>
      </c>
      <c r="G216" s="6">
        <v>7150</v>
      </c>
      <c r="H216" s="10">
        <f>(Table7[[#This Row],[close]]-F215)/F215</f>
        <v>-4.5277558751088557E-3</v>
      </c>
    </row>
    <row r="217" spans="1:8" x14ac:dyDescent="0.3">
      <c r="A217" s="5">
        <v>45778</v>
      </c>
      <c r="B217" s="6" t="s">
        <v>29</v>
      </c>
      <c r="C217" s="6">
        <v>1207.43</v>
      </c>
      <c r="D217" s="6">
        <v>1223.98</v>
      </c>
      <c r="E217" s="6">
        <v>1190.8800000000001</v>
      </c>
      <c r="F217" s="6">
        <v>1208.67</v>
      </c>
      <c r="G217" s="6">
        <v>21079</v>
      </c>
      <c r="H217" s="10">
        <f>(Table7[[#This Row],[close]]-F216)/F216</f>
        <v>-1.3024448400319952E-2</v>
      </c>
    </row>
    <row r="218" spans="1:8" x14ac:dyDescent="0.3">
      <c r="A218" s="5">
        <v>45779</v>
      </c>
      <c r="B218" s="6" t="s">
        <v>29</v>
      </c>
      <c r="C218" s="6">
        <v>1206.8599999999999</v>
      </c>
      <c r="D218" s="6">
        <v>1216.1199999999999</v>
      </c>
      <c r="E218" s="6">
        <v>1197.5899999999999</v>
      </c>
      <c r="F218" s="6">
        <v>1211.72</v>
      </c>
      <c r="G218" s="6">
        <v>32419</v>
      </c>
      <c r="H218" s="10">
        <f>(Table7[[#This Row],[close]]-F217)/F217</f>
        <v>2.5234348498762724E-3</v>
      </c>
    </row>
    <row r="219" spans="1:8" x14ac:dyDescent="0.3">
      <c r="A219" s="5">
        <v>45782</v>
      </c>
      <c r="B219" s="6" t="s">
        <v>29</v>
      </c>
      <c r="C219" s="6">
        <v>1197.75</v>
      </c>
      <c r="D219" s="6">
        <v>1217.1300000000001</v>
      </c>
      <c r="E219" s="6">
        <v>1178.3699999999999</v>
      </c>
      <c r="F219" s="6">
        <v>1200.23</v>
      </c>
      <c r="G219" s="6">
        <v>24236</v>
      </c>
      <c r="H219" s="10">
        <f>(Table7[[#This Row],[close]]-F218)/F218</f>
        <v>-9.4823886706499917E-3</v>
      </c>
    </row>
    <row r="220" spans="1:8" x14ac:dyDescent="0.3">
      <c r="A220" s="5">
        <v>45783</v>
      </c>
      <c r="B220" s="6" t="s">
        <v>29</v>
      </c>
      <c r="C220" s="6">
        <v>1201.8699999999999</v>
      </c>
      <c r="D220" s="6">
        <v>1209.0899999999999</v>
      </c>
      <c r="E220" s="6">
        <v>1194.6500000000001</v>
      </c>
      <c r="F220" s="6">
        <v>1200.8800000000001</v>
      </c>
      <c r="G220" s="6">
        <v>35177</v>
      </c>
      <c r="H220" s="10">
        <f>(Table7[[#This Row],[close]]-F219)/F219</f>
        <v>5.4156286711721168E-4</v>
      </c>
    </row>
    <row r="221" spans="1:8" x14ac:dyDescent="0.3">
      <c r="A221" s="5">
        <v>45784</v>
      </c>
      <c r="B221" s="6" t="s">
        <v>29</v>
      </c>
      <c r="C221" s="6">
        <v>1209.9100000000001</v>
      </c>
      <c r="D221" s="6">
        <v>1214.71</v>
      </c>
      <c r="E221" s="6">
        <v>1205.1199999999999</v>
      </c>
      <c r="F221" s="6">
        <v>1205.95</v>
      </c>
      <c r="G221" s="6">
        <v>15596</v>
      </c>
      <c r="H221" s="10">
        <f>(Table7[[#This Row],[close]]-F220)/F220</f>
        <v>4.2219039371127302E-3</v>
      </c>
    </row>
    <row r="222" spans="1:8" x14ac:dyDescent="0.3">
      <c r="A222" s="5">
        <v>45785</v>
      </c>
      <c r="B222" s="6" t="s">
        <v>29</v>
      </c>
      <c r="C222" s="6">
        <v>1200.53</v>
      </c>
      <c r="D222" s="6">
        <v>1214.03</v>
      </c>
      <c r="E222" s="6">
        <v>1187.04</v>
      </c>
      <c r="F222" s="6">
        <v>1205.7</v>
      </c>
      <c r="G222" s="6">
        <v>46960</v>
      </c>
      <c r="H222" s="10">
        <f>(Table7[[#This Row],[close]]-F221)/F221</f>
        <v>-2.0730544384095525E-4</v>
      </c>
    </row>
    <row r="223" spans="1:8" x14ac:dyDescent="0.3">
      <c r="A223" s="5">
        <v>45786</v>
      </c>
      <c r="B223" s="6" t="s">
        <v>29</v>
      </c>
      <c r="C223" s="6">
        <v>1208.56</v>
      </c>
      <c r="D223" s="6">
        <v>1217.3800000000001</v>
      </c>
      <c r="E223" s="6">
        <v>1199.74</v>
      </c>
      <c r="F223" s="6">
        <v>1206.8499999999999</v>
      </c>
      <c r="G223" s="6">
        <v>44861</v>
      </c>
      <c r="H223" s="10">
        <f>(Table7[[#This Row],[close]]-F222)/F222</f>
        <v>9.5380277017488894E-4</v>
      </c>
    </row>
    <row r="224" spans="1:8" x14ac:dyDescent="0.3">
      <c r="A224" s="5">
        <v>45789</v>
      </c>
      <c r="B224" s="6" t="s">
        <v>29</v>
      </c>
      <c r="C224" s="6">
        <v>1218.1099999999999</v>
      </c>
      <c r="D224" s="6">
        <v>1228.93</v>
      </c>
      <c r="E224" s="6">
        <v>1207.3</v>
      </c>
      <c r="F224" s="6">
        <v>1210.06</v>
      </c>
      <c r="G224" s="6">
        <v>49285</v>
      </c>
      <c r="H224" s="10">
        <f>(Table7[[#This Row],[close]]-F223)/F223</f>
        <v>2.659816878651064E-3</v>
      </c>
    </row>
    <row r="225" spans="1:8" x14ac:dyDescent="0.3">
      <c r="A225" s="5">
        <v>45790</v>
      </c>
      <c r="B225" s="6" t="s">
        <v>29</v>
      </c>
      <c r="C225" s="6">
        <v>1229.92</v>
      </c>
      <c r="D225" s="6">
        <v>1246.99</v>
      </c>
      <c r="E225" s="6">
        <v>1212.8599999999999</v>
      </c>
      <c r="F225" s="6">
        <v>1234.95</v>
      </c>
      <c r="G225" s="6">
        <v>21607</v>
      </c>
      <c r="H225" s="10">
        <f>(Table7[[#This Row],[close]]-F224)/F224</f>
        <v>2.0569227972166752E-2</v>
      </c>
    </row>
    <row r="226" spans="1:8" x14ac:dyDescent="0.3">
      <c r="A226" s="5">
        <v>45791</v>
      </c>
      <c r="B226" s="6" t="s">
        <v>29</v>
      </c>
      <c r="C226" s="6">
        <v>1227.5899999999999</v>
      </c>
      <c r="D226" s="6">
        <v>1235.8</v>
      </c>
      <c r="E226" s="6">
        <v>1219.3800000000001</v>
      </c>
      <c r="F226" s="6">
        <v>1231.31</v>
      </c>
      <c r="G226" s="6">
        <v>28856</v>
      </c>
      <c r="H226" s="10">
        <f>(Table7[[#This Row],[close]]-F225)/F225</f>
        <v>-2.9474877525406695E-3</v>
      </c>
    </row>
    <row r="227" spans="1:8" x14ac:dyDescent="0.3">
      <c r="A227" s="5">
        <v>45792</v>
      </c>
      <c r="B227" s="6" t="s">
        <v>29</v>
      </c>
      <c r="C227" s="6">
        <v>1230.22</v>
      </c>
      <c r="D227" s="6">
        <v>1240.22</v>
      </c>
      <c r="E227" s="6">
        <v>1220.22</v>
      </c>
      <c r="F227" s="6">
        <v>1233.5899999999999</v>
      </c>
      <c r="G227" s="6">
        <v>42196</v>
      </c>
      <c r="H227" s="10">
        <f>(Table7[[#This Row],[close]]-F226)/F226</f>
        <v>1.8516864152812638E-3</v>
      </c>
    </row>
    <row r="228" spans="1:8" x14ac:dyDescent="0.3">
      <c r="A228" s="5">
        <v>45793</v>
      </c>
      <c r="B228" s="6" t="s">
        <v>29</v>
      </c>
      <c r="C228" s="6">
        <v>1249.73</v>
      </c>
      <c r="D228" s="6">
        <v>1257.47</v>
      </c>
      <c r="E228" s="6">
        <v>1241.99</v>
      </c>
      <c r="F228" s="6">
        <v>1247.43</v>
      </c>
      <c r="G228" s="6">
        <v>18685</v>
      </c>
      <c r="H228" s="10">
        <f>(Table7[[#This Row],[close]]-F227)/F227</f>
        <v>1.1219286797072079E-2</v>
      </c>
    </row>
    <row r="229" spans="1:8" x14ac:dyDescent="0.3">
      <c r="A229" s="5">
        <v>45796</v>
      </c>
      <c r="B229" s="6" t="s">
        <v>29</v>
      </c>
      <c r="C229" s="6">
        <v>1253.28</v>
      </c>
      <c r="D229" s="6">
        <v>1276.1099999999999</v>
      </c>
      <c r="E229" s="6">
        <v>1230.44</v>
      </c>
      <c r="F229" s="6">
        <v>1255.1500000000001</v>
      </c>
      <c r="G229" s="6">
        <v>42401</v>
      </c>
      <c r="H229" s="10">
        <f>(Table7[[#This Row],[close]]-F228)/F228</f>
        <v>6.1887240165781057E-3</v>
      </c>
    </row>
    <row r="230" spans="1:8" x14ac:dyDescent="0.3">
      <c r="A230" s="5">
        <v>45797</v>
      </c>
      <c r="B230" s="6" t="s">
        <v>29</v>
      </c>
      <c r="C230" s="6">
        <v>1252.42</v>
      </c>
      <c r="D230" s="6">
        <v>1272.31</v>
      </c>
      <c r="E230" s="6">
        <v>1232.52</v>
      </c>
      <c r="F230" s="6">
        <v>1249.8</v>
      </c>
      <c r="G230" s="6">
        <v>9996</v>
      </c>
      <c r="H230" s="10">
        <f>(Table7[[#This Row],[close]]-F229)/F229</f>
        <v>-4.2624387523404663E-3</v>
      </c>
    </row>
    <row r="231" spans="1:8" x14ac:dyDescent="0.3">
      <c r="A231" s="5">
        <v>45798</v>
      </c>
      <c r="B231" s="6" t="s">
        <v>29</v>
      </c>
      <c r="C231" s="6">
        <v>1253.05</v>
      </c>
      <c r="D231" s="6">
        <v>1264.8499999999999</v>
      </c>
      <c r="E231" s="6">
        <v>1241.26</v>
      </c>
      <c r="F231" s="6">
        <v>1264.3800000000001</v>
      </c>
      <c r="G231" s="6">
        <v>27665</v>
      </c>
      <c r="H231" s="10">
        <f>(Table7[[#This Row],[close]]-F230)/F230</f>
        <v>1.1665866538646307E-2</v>
      </c>
    </row>
    <row r="232" spans="1:8" x14ac:dyDescent="0.3">
      <c r="A232" s="5">
        <v>45799</v>
      </c>
      <c r="B232" s="6" t="s">
        <v>29</v>
      </c>
      <c r="C232" s="6">
        <v>1254.6600000000001</v>
      </c>
      <c r="D232" s="6">
        <v>1265.3</v>
      </c>
      <c r="E232" s="6">
        <v>1244.02</v>
      </c>
      <c r="F232" s="6">
        <v>1250.8800000000001</v>
      </c>
      <c r="G232" s="6">
        <v>40952</v>
      </c>
      <c r="H232" s="10">
        <f>(Table7[[#This Row],[close]]-F231)/F231</f>
        <v>-1.0677169838181559E-2</v>
      </c>
    </row>
    <row r="233" spans="1:8" x14ac:dyDescent="0.3">
      <c r="A233" s="5">
        <v>45800</v>
      </c>
      <c r="B233" s="6" t="s">
        <v>29</v>
      </c>
      <c r="C233" s="6">
        <v>1246.45</v>
      </c>
      <c r="D233" s="6">
        <v>1257.72</v>
      </c>
      <c r="E233" s="6">
        <v>1235.19</v>
      </c>
      <c r="F233" s="6">
        <v>1247.6099999999999</v>
      </c>
      <c r="G233" s="6">
        <v>13875</v>
      </c>
      <c r="H233" s="10">
        <f>(Table7[[#This Row],[close]]-F232)/F232</f>
        <v>-2.6141596316195071E-3</v>
      </c>
    </row>
    <row r="234" spans="1:8" x14ac:dyDescent="0.3">
      <c r="A234" s="5">
        <v>45803</v>
      </c>
      <c r="B234" s="6" t="s">
        <v>29</v>
      </c>
      <c r="C234" s="6">
        <v>1238.25</v>
      </c>
      <c r="D234" s="6">
        <v>1240.94</v>
      </c>
      <c r="E234" s="6">
        <v>1235.57</v>
      </c>
      <c r="F234" s="6">
        <v>1235.8399999999999</v>
      </c>
      <c r="G234" s="6">
        <v>41760</v>
      </c>
      <c r="H234" s="10">
        <f>(Table7[[#This Row],[close]]-F233)/F233</f>
        <v>-9.434037880427364E-3</v>
      </c>
    </row>
    <row r="235" spans="1:8" x14ac:dyDescent="0.3">
      <c r="A235" s="5">
        <v>45804</v>
      </c>
      <c r="B235" s="6" t="s">
        <v>29</v>
      </c>
      <c r="C235" s="6">
        <v>1239.3399999999999</v>
      </c>
      <c r="D235" s="6">
        <v>1251.77</v>
      </c>
      <c r="E235" s="6">
        <v>1226.9000000000001</v>
      </c>
      <c r="F235" s="6">
        <v>1245.1400000000001</v>
      </c>
      <c r="G235" s="6">
        <v>31987</v>
      </c>
      <c r="H235" s="10">
        <f>(Table7[[#This Row],[close]]-F234)/F234</f>
        <v>7.5252459865356213E-3</v>
      </c>
    </row>
    <row r="236" spans="1:8" x14ac:dyDescent="0.3">
      <c r="A236" s="5">
        <v>45805</v>
      </c>
      <c r="B236" s="6" t="s">
        <v>29</v>
      </c>
      <c r="C236" s="6">
        <v>1266</v>
      </c>
      <c r="D236" s="6">
        <v>1280.25</v>
      </c>
      <c r="E236" s="6">
        <v>1251.74</v>
      </c>
      <c r="F236" s="6">
        <v>1264.24</v>
      </c>
      <c r="G236" s="6">
        <v>28529</v>
      </c>
      <c r="H236" s="10">
        <f>(Table7[[#This Row],[close]]-F235)/F235</f>
        <v>1.5339640522350826E-2</v>
      </c>
    </row>
    <row r="237" spans="1:8" x14ac:dyDescent="0.3">
      <c r="A237" s="5">
        <v>45806</v>
      </c>
      <c r="B237" s="6" t="s">
        <v>29</v>
      </c>
      <c r="C237" s="6">
        <v>1274.3900000000001</v>
      </c>
      <c r="D237" s="6">
        <v>1291.3</v>
      </c>
      <c r="E237" s="6">
        <v>1257.48</v>
      </c>
      <c r="F237" s="6">
        <v>1268.1099999999999</v>
      </c>
      <c r="G237" s="6">
        <v>25027</v>
      </c>
      <c r="H237" s="10">
        <f>(Table7[[#This Row],[close]]-F236)/F236</f>
        <v>3.0611276339934592E-3</v>
      </c>
    </row>
    <row r="238" spans="1:8" x14ac:dyDescent="0.3">
      <c r="A238" s="5">
        <v>45807</v>
      </c>
      <c r="B238" s="6" t="s">
        <v>29</v>
      </c>
      <c r="C238" s="6">
        <v>1274.04</v>
      </c>
      <c r="D238" s="6">
        <v>1289.19</v>
      </c>
      <c r="E238" s="6">
        <v>1258.8900000000001</v>
      </c>
      <c r="F238" s="6">
        <v>1269.6099999999999</v>
      </c>
      <c r="G238" s="6">
        <v>21609</v>
      </c>
      <c r="H238" s="10">
        <f>(Table7[[#This Row],[close]]-F237)/F237</f>
        <v>1.182862685413726E-3</v>
      </c>
    </row>
    <row r="239" spans="1:8" x14ac:dyDescent="0.3">
      <c r="A239" s="5">
        <v>45810</v>
      </c>
      <c r="B239" s="6" t="s">
        <v>29</v>
      </c>
      <c r="C239" s="6">
        <v>1248.81</v>
      </c>
      <c r="D239" s="6">
        <v>1260.17</v>
      </c>
      <c r="E239" s="6">
        <v>1237.45</v>
      </c>
      <c r="F239" s="6">
        <v>1255.99</v>
      </c>
      <c r="G239" s="6">
        <v>20250</v>
      </c>
      <c r="H239" s="10">
        <f>(Table7[[#This Row],[close]]-F238)/F238</f>
        <v>-1.0727703783051403E-2</v>
      </c>
    </row>
    <row r="240" spans="1:8" x14ac:dyDescent="0.3">
      <c r="A240" s="5">
        <v>45811</v>
      </c>
      <c r="B240" s="6" t="s">
        <v>29</v>
      </c>
      <c r="C240" s="6">
        <v>1236.74</v>
      </c>
      <c r="D240" s="6">
        <v>1247.47</v>
      </c>
      <c r="E240" s="6">
        <v>1226.02</v>
      </c>
      <c r="F240" s="6">
        <v>1245.22</v>
      </c>
      <c r="G240" s="6">
        <v>25063</v>
      </c>
      <c r="H240" s="10">
        <f>(Table7[[#This Row],[close]]-F239)/F239</f>
        <v>-8.5749090358999535E-3</v>
      </c>
    </row>
    <row r="241" spans="1:8" x14ac:dyDescent="0.3">
      <c r="A241" s="5">
        <v>45812</v>
      </c>
      <c r="B241" s="6" t="s">
        <v>29</v>
      </c>
      <c r="C241" s="6">
        <v>1229.31</v>
      </c>
      <c r="D241" s="6">
        <v>1249.4000000000001</v>
      </c>
      <c r="E241" s="6">
        <v>1209.23</v>
      </c>
      <c r="F241" s="6">
        <v>1226.93</v>
      </c>
      <c r="G241" s="6">
        <v>32463</v>
      </c>
      <c r="H241" s="10">
        <f>(Table7[[#This Row],[close]]-F240)/F240</f>
        <v>-1.4688167552721577E-2</v>
      </c>
    </row>
    <row r="242" spans="1:8" x14ac:dyDescent="0.3">
      <c r="A242" s="5">
        <v>45813</v>
      </c>
      <c r="B242" s="6" t="s">
        <v>29</v>
      </c>
      <c r="C242" s="6">
        <v>1195.0999999999999</v>
      </c>
      <c r="D242" s="6">
        <v>1207.55</v>
      </c>
      <c r="E242" s="6">
        <v>1182.6600000000001</v>
      </c>
      <c r="F242" s="6">
        <v>1194.03</v>
      </c>
      <c r="G242" s="6">
        <v>24150</v>
      </c>
      <c r="H242" s="10">
        <f>(Table7[[#This Row],[close]]-F241)/F241</f>
        <v>-2.6814895715322057E-2</v>
      </c>
    </row>
    <row r="243" spans="1:8" x14ac:dyDescent="0.3">
      <c r="A243" s="5">
        <v>45814</v>
      </c>
      <c r="B243" s="6" t="s">
        <v>29</v>
      </c>
      <c r="C243" s="6">
        <v>1198.17</v>
      </c>
      <c r="D243" s="6">
        <v>1211.1199999999999</v>
      </c>
      <c r="E243" s="6">
        <v>1185.23</v>
      </c>
      <c r="F243" s="6">
        <v>1188.44</v>
      </c>
      <c r="G243" s="6">
        <v>24863</v>
      </c>
      <c r="H243" s="10">
        <f>(Table7[[#This Row],[close]]-F242)/F242</f>
        <v>-4.6816244147968797E-3</v>
      </c>
    </row>
    <row r="244" spans="1:8" x14ac:dyDescent="0.3">
      <c r="A244" s="5">
        <v>45817</v>
      </c>
      <c r="B244" s="6" t="s">
        <v>29</v>
      </c>
      <c r="C244" s="6">
        <v>1186.44</v>
      </c>
      <c r="D244" s="6">
        <v>1189.3599999999999</v>
      </c>
      <c r="E244" s="6">
        <v>1183.53</v>
      </c>
      <c r="F244" s="6">
        <v>1184.27</v>
      </c>
      <c r="G244" s="6">
        <v>49275</v>
      </c>
      <c r="H244" s="10">
        <f>(Table7[[#This Row],[close]]-F243)/F243</f>
        <v>-3.5088014540069945E-3</v>
      </c>
    </row>
    <row r="245" spans="1:8" x14ac:dyDescent="0.3">
      <c r="A245" s="5">
        <v>45818</v>
      </c>
      <c r="B245" s="6" t="s">
        <v>29</v>
      </c>
      <c r="C245" s="6">
        <v>1209.1500000000001</v>
      </c>
      <c r="D245" s="6">
        <v>1221.3699999999999</v>
      </c>
      <c r="E245" s="6">
        <v>1196.93</v>
      </c>
      <c r="F245" s="6">
        <v>1217.42</v>
      </c>
      <c r="G245" s="6">
        <v>13112</v>
      </c>
      <c r="H245" s="10">
        <f>(Table7[[#This Row],[close]]-F244)/F244</f>
        <v>2.7991927516529246E-2</v>
      </c>
    </row>
    <row r="246" spans="1:8" x14ac:dyDescent="0.3">
      <c r="A246" s="5">
        <v>45819</v>
      </c>
      <c r="B246" s="6" t="s">
        <v>29</v>
      </c>
      <c r="C246" s="6">
        <v>1240.68</v>
      </c>
      <c r="D246" s="6">
        <v>1254.26</v>
      </c>
      <c r="E246" s="6">
        <v>1227.0999999999999</v>
      </c>
      <c r="F246" s="6">
        <v>1241.93</v>
      </c>
      <c r="G246" s="6">
        <v>1481</v>
      </c>
      <c r="H246" s="10">
        <f>(Table7[[#This Row],[close]]-F245)/F245</f>
        <v>2.0132739728277824E-2</v>
      </c>
    </row>
    <row r="247" spans="1:8" x14ac:dyDescent="0.3">
      <c r="A247" s="5">
        <v>45820</v>
      </c>
      <c r="B247" s="6" t="s">
        <v>29</v>
      </c>
      <c r="C247" s="6">
        <v>1252.82</v>
      </c>
      <c r="D247" s="6">
        <v>1266.55</v>
      </c>
      <c r="E247" s="6">
        <v>1239.0899999999999</v>
      </c>
      <c r="F247" s="6">
        <v>1250.95</v>
      </c>
      <c r="G247" s="6">
        <v>35888</v>
      </c>
      <c r="H247" s="10">
        <f>(Table7[[#This Row],[close]]-F246)/F246</f>
        <v>7.2628892127575475E-3</v>
      </c>
    </row>
    <row r="248" spans="1:8" x14ac:dyDescent="0.3">
      <c r="A248" s="5">
        <v>45821</v>
      </c>
      <c r="B248" s="6" t="s">
        <v>29</v>
      </c>
      <c r="C248" s="6">
        <v>1276.1500000000001</v>
      </c>
      <c r="D248" s="6">
        <v>1286.47</v>
      </c>
      <c r="E248" s="6">
        <v>1265.8399999999999</v>
      </c>
      <c r="F248" s="6">
        <v>1284.54</v>
      </c>
      <c r="G248" s="6">
        <v>35008</v>
      </c>
      <c r="H248" s="10">
        <f>(Table7[[#This Row],[close]]-F247)/F247</f>
        <v>2.685159278947993E-2</v>
      </c>
    </row>
    <row r="249" spans="1:8" x14ac:dyDescent="0.3">
      <c r="A249" s="5">
        <v>45824</v>
      </c>
      <c r="B249" s="6" t="s">
        <v>29</v>
      </c>
      <c r="C249" s="6">
        <v>1308.96</v>
      </c>
      <c r="D249" s="6">
        <v>1326</v>
      </c>
      <c r="E249" s="6">
        <v>1291.92</v>
      </c>
      <c r="F249" s="6">
        <v>1307.56</v>
      </c>
      <c r="G249" s="6">
        <v>46080</v>
      </c>
      <c r="H249" s="10">
        <f>(Table7[[#This Row],[close]]-F248)/F248</f>
        <v>1.7920812119513588E-2</v>
      </c>
    </row>
    <row r="250" spans="1:8" x14ac:dyDescent="0.3">
      <c r="A250" s="5">
        <v>45825</v>
      </c>
      <c r="B250" s="6" t="s">
        <v>29</v>
      </c>
      <c r="C250" s="6">
        <v>1267.9100000000001</v>
      </c>
      <c r="D250" s="6">
        <v>1281.49</v>
      </c>
      <c r="E250" s="6">
        <v>1254.32</v>
      </c>
      <c r="F250" s="6">
        <v>1275.21</v>
      </c>
      <c r="G250" s="6">
        <v>35020</v>
      </c>
      <c r="H250" s="10">
        <f>(Table7[[#This Row],[close]]-F249)/F249</f>
        <v>-2.4740738474716199E-2</v>
      </c>
    </row>
    <row r="251" spans="1:8" x14ac:dyDescent="0.3">
      <c r="A251" s="5">
        <v>45826</v>
      </c>
      <c r="B251" s="6" t="s">
        <v>29</v>
      </c>
      <c r="C251" s="6">
        <v>1280.3</v>
      </c>
      <c r="D251" s="6">
        <v>1292.8399999999999</v>
      </c>
      <c r="E251" s="6">
        <v>1267.76</v>
      </c>
      <c r="F251" s="6">
        <v>1292.78</v>
      </c>
      <c r="G251" s="6">
        <v>21581</v>
      </c>
      <c r="H251" s="10">
        <f>(Table7[[#This Row],[close]]-F250)/F250</f>
        <v>1.3778122818986627E-2</v>
      </c>
    </row>
    <row r="252" spans="1:8" x14ac:dyDescent="0.3">
      <c r="A252" s="5">
        <v>45827</v>
      </c>
      <c r="B252" s="6" t="s">
        <v>29</v>
      </c>
      <c r="C252" s="6">
        <v>1307.72</v>
      </c>
      <c r="D252" s="6">
        <v>1320.14</v>
      </c>
      <c r="E252" s="6">
        <v>1295.31</v>
      </c>
      <c r="F252" s="6">
        <v>1304.73</v>
      </c>
      <c r="G252" s="6">
        <v>5090</v>
      </c>
      <c r="H252" s="10">
        <f>(Table7[[#This Row],[close]]-F251)/F251</f>
        <v>9.2436454771887295E-3</v>
      </c>
    </row>
    <row r="253" spans="1:8" x14ac:dyDescent="0.3">
      <c r="A253" s="5">
        <v>45828</v>
      </c>
      <c r="B253" s="6" t="s">
        <v>29</v>
      </c>
      <c r="C253" s="6">
        <v>1302.53</v>
      </c>
      <c r="D253" s="6">
        <v>1325.32</v>
      </c>
      <c r="E253" s="6">
        <v>1279.75</v>
      </c>
      <c r="F253" s="6">
        <v>1300.29</v>
      </c>
      <c r="G253" s="6">
        <v>37408</v>
      </c>
      <c r="H253" s="10">
        <f>(Table7[[#This Row],[close]]-F252)/F252</f>
        <v>-3.4030029201444394E-3</v>
      </c>
    </row>
    <row r="254" spans="1:8" x14ac:dyDescent="0.3">
      <c r="A254" s="5">
        <v>45831</v>
      </c>
      <c r="B254" s="6" t="s">
        <v>29</v>
      </c>
      <c r="C254" s="6">
        <v>1280.95</v>
      </c>
      <c r="D254" s="6">
        <v>1289.02</v>
      </c>
      <c r="E254" s="6">
        <v>1272.8900000000001</v>
      </c>
      <c r="F254" s="6">
        <v>1277.6199999999999</v>
      </c>
      <c r="G254" s="6">
        <v>2341</v>
      </c>
      <c r="H254" s="10">
        <f>(Table7[[#This Row],[close]]-F253)/F253</f>
        <v>-1.7434572287720489E-2</v>
      </c>
    </row>
    <row r="255" spans="1:8" x14ac:dyDescent="0.3">
      <c r="A255" s="5">
        <v>45832</v>
      </c>
      <c r="B255" s="6" t="s">
        <v>29</v>
      </c>
      <c r="C255" s="6">
        <v>1290.1199999999999</v>
      </c>
      <c r="D255" s="6">
        <v>1312.22</v>
      </c>
      <c r="E255" s="6">
        <v>1268.02</v>
      </c>
      <c r="F255" s="6">
        <v>1287.55</v>
      </c>
      <c r="G255" s="6">
        <v>13254</v>
      </c>
      <c r="H255" s="10">
        <f>(Table7[[#This Row],[close]]-F254)/F254</f>
        <v>7.7722640534744793E-3</v>
      </c>
    </row>
    <row r="256" spans="1:8" x14ac:dyDescent="0.3">
      <c r="A256" s="5">
        <v>45833</v>
      </c>
      <c r="B256" s="6" t="s">
        <v>29</v>
      </c>
      <c r="C256" s="6">
        <v>1256.4100000000001</v>
      </c>
      <c r="D256" s="6">
        <v>1274.79</v>
      </c>
      <c r="E256" s="6">
        <v>1238.03</v>
      </c>
      <c r="F256" s="6">
        <v>1254.56</v>
      </c>
      <c r="G256" s="6">
        <v>3421</v>
      </c>
      <c r="H256" s="10">
        <f>(Table7[[#This Row],[close]]-F255)/F255</f>
        <v>-2.562230592986681E-2</v>
      </c>
    </row>
    <row r="257" spans="1:8" x14ac:dyDescent="0.3">
      <c r="A257" s="5">
        <v>45834</v>
      </c>
      <c r="B257" s="6" t="s">
        <v>29</v>
      </c>
      <c r="C257" s="6">
        <v>1250.21</v>
      </c>
      <c r="D257" s="6">
        <v>1270.5</v>
      </c>
      <c r="E257" s="6">
        <v>1229.9100000000001</v>
      </c>
      <c r="F257" s="6">
        <v>1254.52</v>
      </c>
      <c r="G257" s="6">
        <v>12918</v>
      </c>
      <c r="H257" s="10">
        <f>(Table7[[#This Row],[close]]-F256)/F256</f>
        <v>-3.188368830503413E-5</v>
      </c>
    </row>
    <row r="258" spans="1:8" x14ac:dyDescent="0.3">
      <c r="A258" s="5">
        <v>45835</v>
      </c>
      <c r="B258" s="6" t="s">
        <v>29</v>
      </c>
      <c r="C258" s="6">
        <v>1253.0899999999999</v>
      </c>
      <c r="D258" s="6">
        <v>1262.3599999999999</v>
      </c>
      <c r="E258" s="6">
        <v>1243.81</v>
      </c>
      <c r="F258" s="6">
        <v>1245.0999999999999</v>
      </c>
      <c r="G258" s="6">
        <v>47617</v>
      </c>
      <c r="H258" s="10">
        <f>(Table7[[#This Row],[close]]-F257)/F257</f>
        <v>-7.5088480056117665E-3</v>
      </c>
    </row>
    <row r="259" spans="1:8" x14ac:dyDescent="0.3">
      <c r="A259" s="5">
        <v>45838</v>
      </c>
      <c r="B259" s="6" t="s">
        <v>29</v>
      </c>
      <c r="C259" s="6">
        <v>1217.6300000000001</v>
      </c>
      <c r="D259" s="6">
        <v>1226.76</v>
      </c>
      <c r="E259" s="6">
        <v>1208.5</v>
      </c>
      <c r="F259" s="6">
        <v>1225.8</v>
      </c>
      <c r="G259" s="6">
        <v>5806</v>
      </c>
      <c r="H259" s="10">
        <f>(Table7[[#This Row],[close]]-F258)/F258</f>
        <v>-1.5500762990924389E-2</v>
      </c>
    </row>
    <row r="260" spans="1:8" x14ac:dyDescent="0.3">
      <c r="A260" s="5">
        <v>45658</v>
      </c>
      <c r="B260" s="6" t="s">
        <v>32</v>
      </c>
      <c r="C260" s="6">
        <v>1974.24</v>
      </c>
      <c r="D260" s="6">
        <v>1983.08</v>
      </c>
      <c r="E260" s="6">
        <v>1965.4</v>
      </c>
      <c r="F260" s="6">
        <v>1967.98</v>
      </c>
      <c r="G260" s="6">
        <v>45064</v>
      </c>
      <c r="H260" s="10">
        <f>(Table7[[#This Row],[close]]-F259)/F259</f>
        <v>0.60546581824114876</v>
      </c>
    </row>
    <row r="261" spans="1:8" x14ac:dyDescent="0.3">
      <c r="A261" s="5">
        <v>45659</v>
      </c>
      <c r="B261" s="6" t="s">
        <v>32</v>
      </c>
      <c r="C261" s="6">
        <v>2030.8</v>
      </c>
      <c r="D261" s="6">
        <v>2047.32</v>
      </c>
      <c r="E261" s="6">
        <v>2014.27</v>
      </c>
      <c r="F261" s="6">
        <v>2034.15</v>
      </c>
      <c r="G261" s="6">
        <v>28570</v>
      </c>
      <c r="H261" s="10">
        <f>(Table7[[#This Row],[close]]-F260)/F260</f>
        <v>3.3623309179971375E-2</v>
      </c>
    </row>
    <row r="262" spans="1:8" x14ac:dyDescent="0.3">
      <c r="A262" s="5">
        <v>45660</v>
      </c>
      <c r="B262" s="6" t="s">
        <v>32</v>
      </c>
      <c r="C262" s="6">
        <v>2021.01</v>
      </c>
      <c r="D262" s="6">
        <v>2026.12</v>
      </c>
      <c r="E262" s="6">
        <v>2015.9</v>
      </c>
      <c r="F262" s="6">
        <v>2015.94</v>
      </c>
      <c r="G262" s="6">
        <v>12745</v>
      </c>
      <c r="H262" s="10">
        <f>(Table7[[#This Row],[close]]-F261)/F261</f>
        <v>-8.9521421724061828E-3</v>
      </c>
    </row>
    <row r="263" spans="1:8" x14ac:dyDescent="0.3">
      <c r="A263" s="5">
        <v>45663</v>
      </c>
      <c r="B263" s="6" t="s">
        <v>32</v>
      </c>
      <c r="C263" s="6">
        <v>1992.73</v>
      </c>
      <c r="D263" s="6">
        <v>2018.24</v>
      </c>
      <c r="E263" s="6">
        <v>1967.23</v>
      </c>
      <c r="F263" s="6">
        <v>2007.26</v>
      </c>
      <c r="G263" s="6">
        <v>15288</v>
      </c>
      <c r="H263" s="10">
        <f>(Table7[[#This Row],[close]]-F262)/F262</f>
        <v>-4.3056837009038283E-3</v>
      </c>
    </row>
    <row r="264" spans="1:8" x14ac:dyDescent="0.3">
      <c r="A264" s="5">
        <v>45664</v>
      </c>
      <c r="B264" s="6" t="s">
        <v>32</v>
      </c>
      <c r="C264" s="6">
        <v>1972.17</v>
      </c>
      <c r="D264" s="6">
        <v>1991.18</v>
      </c>
      <c r="E264" s="6">
        <v>1953.17</v>
      </c>
      <c r="F264" s="6">
        <v>1987.12</v>
      </c>
      <c r="G264" s="6">
        <v>4342</v>
      </c>
      <c r="H264" s="10">
        <f>(Table7[[#This Row],[close]]-F263)/F263</f>
        <v>-1.0033578111455466E-2</v>
      </c>
    </row>
    <row r="265" spans="1:8" x14ac:dyDescent="0.3">
      <c r="A265" s="5">
        <v>45665</v>
      </c>
      <c r="B265" s="6" t="s">
        <v>32</v>
      </c>
      <c r="C265" s="6">
        <v>2005.09</v>
      </c>
      <c r="D265" s="6">
        <v>2034.91</v>
      </c>
      <c r="E265" s="6">
        <v>1975.28</v>
      </c>
      <c r="F265" s="6">
        <v>2003.07</v>
      </c>
      <c r="G265" s="6">
        <v>24411</v>
      </c>
      <c r="H265" s="10">
        <f>(Table7[[#This Row],[close]]-F264)/F264</f>
        <v>8.0266918958090336E-3</v>
      </c>
    </row>
    <row r="266" spans="1:8" x14ac:dyDescent="0.3">
      <c r="A266" s="5">
        <v>45666</v>
      </c>
      <c r="B266" s="6" t="s">
        <v>32</v>
      </c>
      <c r="C266" s="6">
        <v>1999.94</v>
      </c>
      <c r="D266" s="6">
        <v>2032.18</v>
      </c>
      <c r="E266" s="6">
        <v>1967.71</v>
      </c>
      <c r="F266" s="6">
        <v>1998.6</v>
      </c>
      <c r="G266" s="6">
        <v>4093</v>
      </c>
      <c r="H266" s="10">
        <f>(Table7[[#This Row],[close]]-F265)/F265</f>
        <v>-2.231574533091718E-3</v>
      </c>
    </row>
    <row r="267" spans="1:8" x14ac:dyDescent="0.3">
      <c r="A267" s="5">
        <v>45667</v>
      </c>
      <c r="B267" s="6" t="s">
        <v>32</v>
      </c>
      <c r="C267" s="6">
        <v>1960.4</v>
      </c>
      <c r="D267" s="6">
        <v>1980.14</v>
      </c>
      <c r="E267" s="6">
        <v>1940.66</v>
      </c>
      <c r="F267" s="6">
        <v>1974.95</v>
      </c>
      <c r="G267" s="6">
        <v>45413</v>
      </c>
      <c r="H267" s="10">
        <f>(Table7[[#This Row],[close]]-F266)/F266</f>
        <v>-1.1833283298308749E-2</v>
      </c>
    </row>
    <row r="268" spans="1:8" x14ac:dyDescent="0.3">
      <c r="A268" s="5">
        <v>45670</v>
      </c>
      <c r="B268" s="6" t="s">
        <v>32</v>
      </c>
      <c r="C268" s="6">
        <v>1986.24</v>
      </c>
      <c r="D268" s="6">
        <v>1997.86</v>
      </c>
      <c r="E268" s="6">
        <v>1974.62</v>
      </c>
      <c r="F268" s="6">
        <v>1991.84</v>
      </c>
      <c r="G268" s="6">
        <v>40214</v>
      </c>
      <c r="H268" s="10">
        <f>(Table7[[#This Row],[close]]-F267)/F267</f>
        <v>8.5521152434238201E-3</v>
      </c>
    </row>
    <row r="269" spans="1:8" x14ac:dyDescent="0.3">
      <c r="A269" s="5">
        <v>45671</v>
      </c>
      <c r="B269" s="6" t="s">
        <v>32</v>
      </c>
      <c r="C269" s="6">
        <v>2007.88</v>
      </c>
      <c r="D269" s="6">
        <v>2029.17</v>
      </c>
      <c r="E269" s="6">
        <v>1986.58</v>
      </c>
      <c r="F269" s="6">
        <v>2012.28</v>
      </c>
      <c r="G269" s="6">
        <v>49901</v>
      </c>
      <c r="H269" s="10">
        <f>(Table7[[#This Row],[close]]-F268)/F268</f>
        <v>1.0261868423166547E-2</v>
      </c>
    </row>
    <row r="270" spans="1:8" x14ac:dyDescent="0.3">
      <c r="A270" s="5">
        <v>45672</v>
      </c>
      <c r="B270" s="6" t="s">
        <v>32</v>
      </c>
      <c r="C270" s="6">
        <v>2017.46</v>
      </c>
      <c r="D270" s="6">
        <v>2041.64</v>
      </c>
      <c r="E270" s="6">
        <v>1993.28</v>
      </c>
      <c r="F270" s="6">
        <v>2011.07</v>
      </c>
      <c r="G270" s="6">
        <v>6626</v>
      </c>
      <c r="H270" s="10">
        <f>(Table7[[#This Row],[close]]-F269)/F269</f>
        <v>-6.0130796906992883E-4</v>
      </c>
    </row>
    <row r="271" spans="1:8" x14ac:dyDescent="0.3">
      <c r="A271" s="5">
        <v>45673</v>
      </c>
      <c r="B271" s="6" t="s">
        <v>32</v>
      </c>
      <c r="C271" s="6">
        <v>1985.13</v>
      </c>
      <c r="D271" s="6">
        <v>2011.13</v>
      </c>
      <c r="E271" s="6">
        <v>1959.13</v>
      </c>
      <c r="F271" s="6">
        <v>1994.8</v>
      </c>
      <c r="G271" s="6">
        <v>20982</v>
      </c>
      <c r="H271" s="10">
        <f>(Table7[[#This Row],[close]]-F270)/F270</f>
        <v>-8.0902206288194761E-3</v>
      </c>
    </row>
    <row r="272" spans="1:8" x14ac:dyDescent="0.3">
      <c r="A272" s="5">
        <v>45674</v>
      </c>
      <c r="B272" s="6" t="s">
        <v>32</v>
      </c>
      <c r="C272" s="6">
        <v>2062.31</v>
      </c>
      <c r="D272" s="6">
        <v>2081.71</v>
      </c>
      <c r="E272" s="6">
        <v>2042.9</v>
      </c>
      <c r="F272" s="6">
        <v>2051.12</v>
      </c>
      <c r="G272" s="6">
        <v>20440</v>
      </c>
      <c r="H272" s="10">
        <f>(Table7[[#This Row],[close]]-F271)/F271</f>
        <v>2.8233406857830327E-2</v>
      </c>
    </row>
    <row r="273" spans="1:8" x14ac:dyDescent="0.3">
      <c r="A273" s="5">
        <v>45677</v>
      </c>
      <c r="B273" s="6" t="s">
        <v>32</v>
      </c>
      <c r="C273" s="6">
        <v>2066.25</v>
      </c>
      <c r="D273" s="6">
        <v>2087.27</v>
      </c>
      <c r="E273" s="6">
        <v>2045.23</v>
      </c>
      <c r="F273" s="6">
        <v>2060.42</v>
      </c>
      <c r="G273" s="6">
        <v>39158</v>
      </c>
      <c r="H273" s="10">
        <f>(Table7[[#This Row],[close]]-F272)/F272</f>
        <v>4.5341081945474582E-3</v>
      </c>
    </row>
    <row r="274" spans="1:8" x14ac:dyDescent="0.3">
      <c r="A274" s="5">
        <v>45678</v>
      </c>
      <c r="B274" s="6" t="s">
        <v>32</v>
      </c>
      <c r="C274" s="6">
        <v>2026.64</v>
      </c>
      <c r="D274" s="6">
        <v>2047.22</v>
      </c>
      <c r="E274" s="6">
        <v>2006.06</v>
      </c>
      <c r="F274" s="6">
        <v>2028.09</v>
      </c>
      <c r="G274" s="6">
        <v>22563</v>
      </c>
      <c r="H274" s="10">
        <f>(Table7[[#This Row],[close]]-F273)/F273</f>
        <v>-1.5690975626328686E-2</v>
      </c>
    </row>
    <row r="275" spans="1:8" x14ac:dyDescent="0.3">
      <c r="A275" s="5">
        <v>45679</v>
      </c>
      <c r="B275" s="6" t="s">
        <v>32</v>
      </c>
      <c r="C275" s="6">
        <v>2050.9299999999998</v>
      </c>
      <c r="D275" s="6">
        <v>2072.6999999999998</v>
      </c>
      <c r="E275" s="6">
        <v>2029.16</v>
      </c>
      <c r="F275" s="6">
        <v>2065.04</v>
      </c>
      <c r="G275" s="6">
        <v>4380</v>
      </c>
      <c r="H275" s="10">
        <f>(Table7[[#This Row],[close]]-F274)/F274</f>
        <v>1.8219112564038107E-2</v>
      </c>
    </row>
    <row r="276" spans="1:8" x14ac:dyDescent="0.3">
      <c r="A276" s="5">
        <v>45680</v>
      </c>
      <c r="B276" s="6" t="s">
        <v>32</v>
      </c>
      <c r="C276" s="6">
        <v>2037.25</v>
      </c>
      <c r="D276" s="6">
        <v>2049.66</v>
      </c>
      <c r="E276" s="6">
        <v>2024.84</v>
      </c>
      <c r="F276" s="6">
        <v>2043.38</v>
      </c>
      <c r="G276" s="6">
        <v>21017</v>
      </c>
      <c r="H276" s="10">
        <f>(Table7[[#This Row],[close]]-F275)/F275</f>
        <v>-1.0488900941386053E-2</v>
      </c>
    </row>
    <row r="277" spans="1:8" x14ac:dyDescent="0.3">
      <c r="A277" s="5">
        <v>45681</v>
      </c>
      <c r="B277" s="6" t="s">
        <v>32</v>
      </c>
      <c r="C277" s="6">
        <v>2118.5500000000002</v>
      </c>
      <c r="D277" s="6">
        <v>2147.9</v>
      </c>
      <c r="E277" s="6">
        <v>2089.1999999999998</v>
      </c>
      <c r="F277" s="6">
        <v>2115.6999999999998</v>
      </c>
      <c r="G277" s="6">
        <v>18343</v>
      </c>
      <c r="H277" s="10">
        <f>(Table7[[#This Row],[close]]-F276)/F276</f>
        <v>3.5392340142313079E-2</v>
      </c>
    </row>
    <row r="278" spans="1:8" x14ac:dyDescent="0.3">
      <c r="A278" s="5">
        <v>45684</v>
      </c>
      <c r="B278" s="6" t="s">
        <v>32</v>
      </c>
      <c r="C278" s="6">
        <v>2105.25</v>
      </c>
      <c r="D278" s="6">
        <v>2130.79</v>
      </c>
      <c r="E278" s="6">
        <v>2079.6999999999998</v>
      </c>
      <c r="F278" s="6">
        <v>2118.33</v>
      </c>
      <c r="G278" s="6">
        <v>16251</v>
      </c>
      <c r="H278" s="10">
        <f>(Table7[[#This Row],[close]]-F277)/F277</f>
        <v>1.2430873942430919E-3</v>
      </c>
    </row>
    <row r="279" spans="1:8" x14ac:dyDescent="0.3">
      <c r="A279" s="5">
        <v>45685</v>
      </c>
      <c r="B279" s="6" t="s">
        <v>32</v>
      </c>
      <c r="C279" s="6">
        <v>2152.8200000000002</v>
      </c>
      <c r="D279" s="6">
        <v>2180.25</v>
      </c>
      <c r="E279" s="6">
        <v>2125.39</v>
      </c>
      <c r="F279" s="6">
        <v>2146.06</v>
      </c>
      <c r="G279" s="6">
        <v>12536</v>
      </c>
      <c r="H279" s="10">
        <f>(Table7[[#This Row],[close]]-F278)/F278</f>
        <v>1.3090500535799436E-2</v>
      </c>
    </row>
    <row r="280" spans="1:8" x14ac:dyDescent="0.3">
      <c r="A280" s="5">
        <v>45686</v>
      </c>
      <c r="B280" s="6" t="s">
        <v>32</v>
      </c>
      <c r="C280" s="6">
        <v>2098.5700000000002</v>
      </c>
      <c r="D280" s="6">
        <v>2116.4499999999998</v>
      </c>
      <c r="E280" s="6">
        <v>2080.6999999999998</v>
      </c>
      <c r="F280" s="6">
        <v>2091.0500000000002</v>
      </c>
      <c r="G280" s="6">
        <v>9712</v>
      </c>
      <c r="H280" s="10">
        <f>(Table7[[#This Row],[close]]-F279)/F279</f>
        <v>-2.5633020512007942E-2</v>
      </c>
    </row>
    <row r="281" spans="1:8" x14ac:dyDescent="0.3">
      <c r="A281" s="5">
        <v>45687</v>
      </c>
      <c r="B281" s="6" t="s">
        <v>32</v>
      </c>
      <c r="C281" s="6">
        <v>2051.9899999999998</v>
      </c>
      <c r="D281" s="6">
        <v>2066.23</v>
      </c>
      <c r="E281" s="6">
        <v>2037.75</v>
      </c>
      <c r="F281" s="6">
        <v>2057.98</v>
      </c>
      <c r="G281" s="6">
        <v>6109</v>
      </c>
      <c r="H281" s="10">
        <f>(Table7[[#This Row],[close]]-F280)/F280</f>
        <v>-1.5815021161617447E-2</v>
      </c>
    </row>
    <row r="282" spans="1:8" x14ac:dyDescent="0.3">
      <c r="A282" s="5">
        <v>45688</v>
      </c>
      <c r="B282" s="6" t="s">
        <v>32</v>
      </c>
      <c r="C282" s="6">
        <v>2087.8200000000002</v>
      </c>
      <c r="D282" s="6">
        <v>2107</v>
      </c>
      <c r="E282" s="6">
        <v>2068.64</v>
      </c>
      <c r="F282" s="6">
        <v>2093.35</v>
      </c>
      <c r="G282" s="6">
        <v>17967</v>
      </c>
      <c r="H282" s="10">
        <f>(Table7[[#This Row],[close]]-F281)/F281</f>
        <v>1.7186755945150047E-2</v>
      </c>
    </row>
    <row r="283" spans="1:8" x14ac:dyDescent="0.3">
      <c r="A283" s="5">
        <v>45691</v>
      </c>
      <c r="B283" s="6" t="s">
        <v>32</v>
      </c>
      <c r="C283" s="6">
        <v>2099.21</v>
      </c>
      <c r="D283" s="6">
        <v>2115.3000000000002</v>
      </c>
      <c r="E283" s="6">
        <v>2083.11</v>
      </c>
      <c r="F283" s="6">
        <v>2102.25</v>
      </c>
      <c r="G283" s="6">
        <v>37935</v>
      </c>
      <c r="H283" s="10">
        <f>(Table7[[#This Row],[close]]-F282)/F282</f>
        <v>4.2515585066998313E-3</v>
      </c>
    </row>
    <row r="284" spans="1:8" x14ac:dyDescent="0.3">
      <c r="A284" s="5">
        <v>45692</v>
      </c>
      <c r="B284" s="6" t="s">
        <v>32</v>
      </c>
      <c r="C284" s="6">
        <v>2152.91</v>
      </c>
      <c r="D284" s="6">
        <v>2177.61</v>
      </c>
      <c r="E284" s="6">
        <v>2128.1999999999998</v>
      </c>
      <c r="F284" s="6">
        <v>2157.56</v>
      </c>
      <c r="G284" s="6">
        <v>30009</v>
      </c>
      <c r="H284" s="10">
        <f>(Table7[[#This Row],[close]]-F283)/F283</f>
        <v>2.6309906053038384E-2</v>
      </c>
    </row>
    <row r="285" spans="1:8" x14ac:dyDescent="0.3">
      <c r="A285" s="5">
        <v>45693</v>
      </c>
      <c r="B285" s="6" t="s">
        <v>32</v>
      </c>
      <c r="C285" s="6">
        <v>2168.6999999999998</v>
      </c>
      <c r="D285" s="6">
        <v>2192.15</v>
      </c>
      <c r="E285" s="6">
        <v>2145.25</v>
      </c>
      <c r="F285" s="6">
        <v>2171.31</v>
      </c>
      <c r="G285" s="6">
        <v>27143</v>
      </c>
      <c r="H285" s="10">
        <f>(Table7[[#This Row],[close]]-F284)/F284</f>
        <v>6.3729398023693431E-3</v>
      </c>
    </row>
    <row r="286" spans="1:8" x14ac:dyDescent="0.3">
      <c r="A286" s="5">
        <v>45694</v>
      </c>
      <c r="B286" s="6" t="s">
        <v>32</v>
      </c>
      <c r="C286" s="6">
        <v>2173.63</v>
      </c>
      <c r="D286" s="6">
        <v>2204.4</v>
      </c>
      <c r="E286" s="6">
        <v>2142.86</v>
      </c>
      <c r="F286" s="6">
        <v>2175.81</v>
      </c>
      <c r="G286" s="6">
        <v>21581</v>
      </c>
      <c r="H286" s="10">
        <f>(Table7[[#This Row],[close]]-F285)/F285</f>
        <v>2.0724815894552135E-3</v>
      </c>
    </row>
    <row r="287" spans="1:8" x14ac:dyDescent="0.3">
      <c r="A287" s="5">
        <v>45695</v>
      </c>
      <c r="B287" s="6" t="s">
        <v>32</v>
      </c>
      <c r="C287" s="6">
        <v>2227.9</v>
      </c>
      <c r="D287" s="6">
        <v>2264.1999999999998</v>
      </c>
      <c r="E287" s="6">
        <v>2191.61</v>
      </c>
      <c r="F287" s="6">
        <v>2223.8200000000002</v>
      </c>
      <c r="G287" s="6">
        <v>4762</v>
      </c>
      <c r="H287" s="10">
        <f>(Table7[[#This Row],[close]]-F286)/F286</f>
        <v>2.2065345779273108E-2</v>
      </c>
    </row>
    <row r="288" spans="1:8" x14ac:dyDescent="0.3">
      <c r="A288" s="5">
        <v>45698</v>
      </c>
      <c r="B288" s="6" t="s">
        <v>32</v>
      </c>
      <c r="C288" s="6">
        <v>2249.75</v>
      </c>
      <c r="D288" s="6">
        <v>2257.5700000000002</v>
      </c>
      <c r="E288" s="6">
        <v>2241.9299999999998</v>
      </c>
      <c r="F288" s="6">
        <v>2252.84</v>
      </c>
      <c r="G288" s="6">
        <v>39559</v>
      </c>
      <c r="H288" s="10">
        <f>(Table7[[#This Row],[close]]-F287)/F287</f>
        <v>1.3049617325143212E-2</v>
      </c>
    </row>
    <row r="289" spans="1:8" x14ac:dyDescent="0.3">
      <c r="A289" s="5">
        <v>45699</v>
      </c>
      <c r="B289" s="6" t="s">
        <v>32</v>
      </c>
      <c r="C289" s="6">
        <v>2237.38</v>
      </c>
      <c r="D289" s="6">
        <v>2248.64</v>
      </c>
      <c r="E289" s="6">
        <v>2226.13</v>
      </c>
      <c r="F289" s="6">
        <v>2247.81</v>
      </c>
      <c r="G289" s="6">
        <v>31811</v>
      </c>
      <c r="H289" s="10">
        <f>(Table7[[#This Row],[close]]-F288)/F288</f>
        <v>-2.2327373448625732E-3</v>
      </c>
    </row>
    <row r="290" spans="1:8" x14ac:dyDescent="0.3">
      <c r="A290" s="5">
        <v>45700</v>
      </c>
      <c r="B290" s="6" t="s">
        <v>32</v>
      </c>
      <c r="C290" s="6">
        <v>2220.73</v>
      </c>
      <c r="D290" s="6">
        <v>2248.7199999999998</v>
      </c>
      <c r="E290" s="6">
        <v>2192.7399999999998</v>
      </c>
      <c r="F290" s="6">
        <v>2217.5700000000002</v>
      </c>
      <c r="G290" s="6">
        <v>23431</v>
      </c>
      <c r="H290" s="10">
        <f>(Table7[[#This Row],[close]]-F289)/F289</f>
        <v>-1.3453094345162528E-2</v>
      </c>
    </row>
    <row r="291" spans="1:8" x14ac:dyDescent="0.3">
      <c r="A291" s="5">
        <v>45701</v>
      </c>
      <c r="B291" s="6" t="s">
        <v>32</v>
      </c>
      <c r="C291" s="6">
        <v>2171.5</v>
      </c>
      <c r="D291" s="6">
        <v>2193.3200000000002</v>
      </c>
      <c r="E291" s="6">
        <v>2149.6799999999998</v>
      </c>
      <c r="F291" s="6">
        <v>2152.8000000000002</v>
      </c>
      <c r="G291" s="6">
        <v>7368</v>
      </c>
      <c r="H291" s="10">
        <f>(Table7[[#This Row],[close]]-F290)/F290</f>
        <v>-2.9207646207335045E-2</v>
      </c>
    </row>
    <row r="292" spans="1:8" x14ac:dyDescent="0.3">
      <c r="A292" s="5">
        <v>45702</v>
      </c>
      <c r="B292" s="6" t="s">
        <v>32</v>
      </c>
      <c r="C292" s="6">
        <v>2135.84</v>
      </c>
      <c r="D292" s="6">
        <v>2145.23</v>
      </c>
      <c r="E292" s="6">
        <v>2126.4499999999998</v>
      </c>
      <c r="F292" s="6">
        <v>2141.4699999999998</v>
      </c>
      <c r="G292" s="6">
        <v>24116</v>
      </c>
      <c r="H292" s="10">
        <f>(Table7[[#This Row],[close]]-F291)/F291</f>
        <v>-5.2629134150875053E-3</v>
      </c>
    </row>
    <row r="293" spans="1:8" x14ac:dyDescent="0.3">
      <c r="A293" s="5">
        <v>45705</v>
      </c>
      <c r="B293" s="6" t="s">
        <v>32</v>
      </c>
      <c r="C293" s="6">
        <v>2103.4899999999998</v>
      </c>
      <c r="D293" s="6">
        <v>2113.52</v>
      </c>
      <c r="E293" s="6">
        <v>2093.4499999999998</v>
      </c>
      <c r="F293" s="6">
        <v>2110.1999999999998</v>
      </c>
      <c r="G293" s="6">
        <v>44201</v>
      </c>
      <c r="H293" s="10">
        <f>(Table7[[#This Row],[close]]-F292)/F292</f>
        <v>-1.4602119105100694E-2</v>
      </c>
    </row>
    <row r="294" spans="1:8" x14ac:dyDescent="0.3">
      <c r="A294" s="5">
        <v>45706</v>
      </c>
      <c r="B294" s="6" t="s">
        <v>32</v>
      </c>
      <c r="C294" s="6">
        <v>2197.87</v>
      </c>
      <c r="D294" s="6">
        <v>2223.56</v>
      </c>
      <c r="E294" s="6">
        <v>2172.17</v>
      </c>
      <c r="F294" s="6">
        <v>2180.9299999999998</v>
      </c>
      <c r="G294" s="6">
        <v>11361</v>
      </c>
      <c r="H294" s="10">
        <f>(Table7[[#This Row],[close]]-F293)/F293</f>
        <v>3.3518149938394477E-2</v>
      </c>
    </row>
    <row r="295" spans="1:8" x14ac:dyDescent="0.3">
      <c r="A295" s="5">
        <v>45707</v>
      </c>
      <c r="B295" s="6" t="s">
        <v>32</v>
      </c>
      <c r="C295" s="6">
        <v>2176.64</v>
      </c>
      <c r="D295" s="6">
        <v>2198.29</v>
      </c>
      <c r="E295" s="6">
        <v>2154.98</v>
      </c>
      <c r="F295" s="6">
        <v>2163.65</v>
      </c>
      <c r="G295" s="6">
        <v>10078</v>
      </c>
      <c r="H295" s="10">
        <f>(Table7[[#This Row],[close]]-F294)/F294</f>
        <v>-7.9232254130117644E-3</v>
      </c>
    </row>
    <row r="296" spans="1:8" x14ac:dyDescent="0.3">
      <c r="A296" s="5">
        <v>45708</v>
      </c>
      <c r="B296" s="6" t="s">
        <v>32</v>
      </c>
      <c r="C296" s="6">
        <v>2139.73</v>
      </c>
      <c r="D296" s="6">
        <v>2174.5300000000002</v>
      </c>
      <c r="E296" s="6">
        <v>2104.9299999999998</v>
      </c>
      <c r="F296" s="6">
        <v>2145.7600000000002</v>
      </c>
      <c r="G296" s="6">
        <v>39850</v>
      </c>
      <c r="H296" s="10">
        <f>(Table7[[#This Row],[close]]-F295)/F295</f>
        <v>-8.2684352829708457E-3</v>
      </c>
    </row>
    <row r="297" spans="1:8" x14ac:dyDescent="0.3">
      <c r="A297" s="5">
        <v>45709</v>
      </c>
      <c r="B297" s="6" t="s">
        <v>32</v>
      </c>
      <c r="C297" s="6">
        <v>2111.88</v>
      </c>
      <c r="D297" s="6">
        <v>2143.27</v>
      </c>
      <c r="E297" s="6">
        <v>2080.48</v>
      </c>
      <c r="F297" s="6">
        <v>2105.5300000000002</v>
      </c>
      <c r="G297" s="6">
        <v>27015</v>
      </c>
      <c r="H297" s="10">
        <f>(Table7[[#This Row],[close]]-F296)/F296</f>
        <v>-1.8748601893967647E-2</v>
      </c>
    </row>
    <row r="298" spans="1:8" x14ac:dyDescent="0.3">
      <c r="A298" s="5">
        <v>45712</v>
      </c>
      <c r="B298" s="6" t="s">
        <v>32</v>
      </c>
      <c r="C298" s="6">
        <v>2085.62</v>
      </c>
      <c r="D298" s="6">
        <v>2111.52</v>
      </c>
      <c r="E298" s="6">
        <v>2059.7199999999998</v>
      </c>
      <c r="F298" s="6">
        <v>2098.98</v>
      </c>
      <c r="G298" s="6">
        <v>37679</v>
      </c>
      <c r="H298" s="10">
        <f>(Table7[[#This Row],[close]]-F297)/F297</f>
        <v>-3.1108556990402329E-3</v>
      </c>
    </row>
    <row r="299" spans="1:8" x14ac:dyDescent="0.3">
      <c r="A299" s="5">
        <v>45713</v>
      </c>
      <c r="B299" s="6" t="s">
        <v>32</v>
      </c>
      <c r="C299" s="6">
        <v>2080.15</v>
      </c>
      <c r="D299" s="6">
        <v>2111.71</v>
      </c>
      <c r="E299" s="6">
        <v>2048.59</v>
      </c>
      <c r="F299" s="6">
        <v>2081.9699999999998</v>
      </c>
      <c r="G299" s="6">
        <v>14629</v>
      </c>
      <c r="H299" s="10">
        <f>(Table7[[#This Row],[close]]-F298)/F298</f>
        <v>-8.1039361975817868E-3</v>
      </c>
    </row>
    <row r="300" spans="1:8" x14ac:dyDescent="0.3">
      <c r="A300" s="5">
        <v>45714</v>
      </c>
      <c r="B300" s="6" t="s">
        <v>32</v>
      </c>
      <c r="C300" s="6">
        <v>2131.2800000000002</v>
      </c>
      <c r="D300" s="6">
        <v>2154.63</v>
      </c>
      <c r="E300" s="6">
        <v>2107.94</v>
      </c>
      <c r="F300" s="6">
        <v>2128.56</v>
      </c>
      <c r="G300" s="6">
        <v>34226</v>
      </c>
      <c r="H300" s="10">
        <f>(Table7[[#This Row],[close]]-F299)/F299</f>
        <v>2.2377844061153691E-2</v>
      </c>
    </row>
    <row r="301" spans="1:8" x14ac:dyDescent="0.3">
      <c r="A301" s="5">
        <v>45715</v>
      </c>
      <c r="B301" s="6" t="s">
        <v>32</v>
      </c>
      <c r="C301" s="6">
        <v>2141</v>
      </c>
      <c r="D301" s="6">
        <v>2171.7800000000002</v>
      </c>
      <c r="E301" s="6">
        <v>2110.23</v>
      </c>
      <c r="F301" s="6">
        <v>2133.59</v>
      </c>
      <c r="G301" s="6">
        <v>28961</v>
      </c>
      <c r="H301" s="10">
        <f>(Table7[[#This Row],[close]]-F300)/F300</f>
        <v>2.3630999361071337E-3</v>
      </c>
    </row>
    <row r="302" spans="1:8" x14ac:dyDescent="0.3">
      <c r="A302" s="5">
        <v>45716</v>
      </c>
      <c r="B302" s="6" t="s">
        <v>32</v>
      </c>
      <c r="C302" s="6">
        <v>2140.33</v>
      </c>
      <c r="D302" s="6">
        <v>2167.31</v>
      </c>
      <c r="E302" s="6">
        <v>2113.34</v>
      </c>
      <c r="F302" s="6">
        <v>2133.86</v>
      </c>
      <c r="G302" s="6">
        <v>22288</v>
      </c>
      <c r="H302" s="10">
        <f>(Table7[[#This Row],[close]]-F301)/F301</f>
        <v>1.2654727478099437E-4</v>
      </c>
    </row>
    <row r="303" spans="1:8" x14ac:dyDescent="0.3">
      <c r="A303" s="5">
        <v>45719</v>
      </c>
      <c r="B303" s="6" t="s">
        <v>32</v>
      </c>
      <c r="C303" s="6">
        <v>2124.9</v>
      </c>
      <c r="D303" s="6">
        <v>2137.7399999999998</v>
      </c>
      <c r="E303" s="6">
        <v>2112.06</v>
      </c>
      <c r="F303" s="6">
        <v>2130.75</v>
      </c>
      <c r="G303" s="6">
        <v>16313</v>
      </c>
      <c r="H303" s="10">
        <f>(Table7[[#This Row],[close]]-F302)/F302</f>
        <v>-1.4574526913668784E-3</v>
      </c>
    </row>
    <row r="304" spans="1:8" x14ac:dyDescent="0.3">
      <c r="A304" s="5">
        <v>45720</v>
      </c>
      <c r="B304" s="6" t="s">
        <v>32</v>
      </c>
      <c r="C304" s="6">
        <v>2148.4499999999998</v>
      </c>
      <c r="D304" s="6">
        <v>2155.0700000000002</v>
      </c>
      <c r="E304" s="6">
        <v>2141.84</v>
      </c>
      <c r="F304" s="6">
        <v>2152.4699999999998</v>
      </c>
      <c r="G304" s="6">
        <v>2560</v>
      </c>
      <c r="H304" s="10">
        <f>(Table7[[#This Row],[close]]-F303)/F303</f>
        <v>1.0193593804998145E-2</v>
      </c>
    </row>
    <row r="305" spans="1:8" x14ac:dyDescent="0.3">
      <c r="A305" s="5">
        <v>45721</v>
      </c>
      <c r="B305" s="6" t="s">
        <v>32</v>
      </c>
      <c r="C305" s="6">
        <v>2154.7199999999998</v>
      </c>
      <c r="D305" s="6">
        <v>2178.08</v>
      </c>
      <c r="E305" s="6">
        <v>2131.37</v>
      </c>
      <c r="F305" s="6">
        <v>2140.75</v>
      </c>
      <c r="G305" s="6">
        <v>21022</v>
      </c>
      <c r="H305" s="10">
        <f>(Table7[[#This Row],[close]]-F304)/F304</f>
        <v>-5.4449074783852044E-3</v>
      </c>
    </row>
    <row r="306" spans="1:8" x14ac:dyDescent="0.3">
      <c r="A306" s="5">
        <v>45722</v>
      </c>
      <c r="B306" s="6" t="s">
        <v>32</v>
      </c>
      <c r="C306" s="6">
        <v>2153.42</v>
      </c>
      <c r="D306" s="6">
        <v>2179.64</v>
      </c>
      <c r="E306" s="6">
        <v>2127.19</v>
      </c>
      <c r="F306" s="6">
        <v>2159.34</v>
      </c>
      <c r="G306" s="6">
        <v>29380</v>
      </c>
      <c r="H306" s="10">
        <f>(Table7[[#This Row],[close]]-F305)/F305</f>
        <v>8.6838724746000906E-3</v>
      </c>
    </row>
    <row r="307" spans="1:8" x14ac:dyDescent="0.3">
      <c r="A307" s="5">
        <v>45723</v>
      </c>
      <c r="B307" s="6" t="s">
        <v>32</v>
      </c>
      <c r="C307" s="6">
        <v>2207.11</v>
      </c>
      <c r="D307" s="6">
        <v>2239.0300000000002</v>
      </c>
      <c r="E307" s="6">
        <v>2175.1799999999998</v>
      </c>
      <c r="F307" s="6">
        <v>2204.2199999999998</v>
      </c>
      <c r="G307" s="6">
        <v>25363</v>
      </c>
      <c r="H307" s="10">
        <f>(Table7[[#This Row],[close]]-F306)/F306</f>
        <v>2.0784128483703191E-2</v>
      </c>
    </row>
    <row r="308" spans="1:8" x14ac:dyDescent="0.3">
      <c r="A308" s="5">
        <v>45726</v>
      </c>
      <c r="B308" s="6" t="s">
        <v>32</v>
      </c>
      <c r="C308" s="6">
        <v>2213.9299999999998</v>
      </c>
      <c r="D308" s="6">
        <v>2242.19</v>
      </c>
      <c r="E308" s="6">
        <v>2185.66</v>
      </c>
      <c r="F308" s="6">
        <v>2217.56</v>
      </c>
      <c r="G308" s="6">
        <v>1661</v>
      </c>
      <c r="H308" s="10">
        <f>(Table7[[#This Row],[close]]-F307)/F307</f>
        <v>6.0520274745715702E-3</v>
      </c>
    </row>
    <row r="309" spans="1:8" x14ac:dyDescent="0.3">
      <c r="A309" s="5">
        <v>45727</v>
      </c>
      <c r="B309" s="6" t="s">
        <v>32</v>
      </c>
      <c r="C309" s="6">
        <v>2206.4699999999998</v>
      </c>
      <c r="D309" s="6">
        <v>2225.8200000000002</v>
      </c>
      <c r="E309" s="6">
        <v>2187.13</v>
      </c>
      <c r="F309" s="6">
        <v>2211.12</v>
      </c>
      <c r="G309" s="6">
        <v>26658</v>
      </c>
      <c r="H309" s="10">
        <f>(Table7[[#This Row],[close]]-F308)/F308</f>
        <v>-2.9040927866664508E-3</v>
      </c>
    </row>
    <row r="310" spans="1:8" x14ac:dyDescent="0.3">
      <c r="A310" s="5">
        <v>45728</v>
      </c>
      <c r="B310" s="6" t="s">
        <v>32</v>
      </c>
      <c r="C310" s="6">
        <v>2195.09</v>
      </c>
      <c r="D310" s="6">
        <v>2213.66</v>
      </c>
      <c r="E310" s="6">
        <v>2176.52</v>
      </c>
      <c r="F310" s="6">
        <v>2185.2399999999998</v>
      </c>
      <c r="G310" s="6">
        <v>29706</v>
      </c>
      <c r="H310" s="10">
        <f>(Table7[[#This Row],[close]]-F309)/F309</f>
        <v>-1.1704475559897296E-2</v>
      </c>
    </row>
    <row r="311" spans="1:8" x14ac:dyDescent="0.3">
      <c r="A311" s="5">
        <v>45729</v>
      </c>
      <c r="B311" s="6" t="s">
        <v>32</v>
      </c>
      <c r="C311" s="6">
        <v>2173.89</v>
      </c>
      <c r="D311" s="6">
        <v>2187.81</v>
      </c>
      <c r="E311" s="6">
        <v>2159.9699999999998</v>
      </c>
      <c r="F311" s="6">
        <v>2178.1999999999998</v>
      </c>
      <c r="G311" s="6">
        <v>47286</v>
      </c>
      <c r="H311" s="10">
        <f>(Table7[[#This Row],[close]]-F310)/F310</f>
        <v>-3.2216141018835296E-3</v>
      </c>
    </row>
    <row r="312" spans="1:8" x14ac:dyDescent="0.3">
      <c r="A312" s="5">
        <v>45730</v>
      </c>
      <c r="B312" s="6" t="s">
        <v>32</v>
      </c>
      <c r="C312" s="6">
        <v>2189.73</v>
      </c>
      <c r="D312" s="6">
        <v>2205.5300000000002</v>
      </c>
      <c r="E312" s="6">
        <v>2173.92</v>
      </c>
      <c r="F312" s="6">
        <v>2194.23</v>
      </c>
      <c r="G312" s="6">
        <v>8005</v>
      </c>
      <c r="H312" s="10">
        <f>(Table7[[#This Row],[close]]-F311)/F311</f>
        <v>7.3592874850795156E-3</v>
      </c>
    </row>
    <row r="313" spans="1:8" x14ac:dyDescent="0.3">
      <c r="A313" s="5">
        <v>45733</v>
      </c>
      <c r="B313" s="6" t="s">
        <v>32</v>
      </c>
      <c r="C313" s="6">
        <v>2164.5100000000002</v>
      </c>
      <c r="D313" s="6">
        <v>2194.15</v>
      </c>
      <c r="E313" s="6">
        <v>2134.87</v>
      </c>
      <c r="F313" s="6">
        <v>2152.7800000000002</v>
      </c>
      <c r="G313" s="6">
        <v>35839</v>
      </c>
      <c r="H313" s="10">
        <f>(Table7[[#This Row],[close]]-F312)/F312</f>
        <v>-1.8890453598756657E-2</v>
      </c>
    </row>
    <row r="314" spans="1:8" x14ac:dyDescent="0.3">
      <c r="A314" s="5">
        <v>45734</v>
      </c>
      <c r="B314" s="6" t="s">
        <v>32</v>
      </c>
      <c r="C314" s="6">
        <v>2177.6999999999998</v>
      </c>
      <c r="D314" s="6">
        <v>2194.4899999999998</v>
      </c>
      <c r="E314" s="6">
        <v>2160.91</v>
      </c>
      <c r="F314" s="6">
        <v>2175.9699999999998</v>
      </c>
      <c r="G314" s="6">
        <v>26963</v>
      </c>
      <c r="H314" s="10">
        <f>(Table7[[#This Row],[close]]-F313)/F313</f>
        <v>1.077211791265229E-2</v>
      </c>
    </row>
    <row r="315" spans="1:8" x14ac:dyDescent="0.3">
      <c r="A315" s="5">
        <v>45735</v>
      </c>
      <c r="B315" s="6" t="s">
        <v>32</v>
      </c>
      <c r="C315" s="6">
        <v>2187.92</v>
      </c>
      <c r="D315" s="6">
        <v>2215.69</v>
      </c>
      <c r="E315" s="6">
        <v>2160.15</v>
      </c>
      <c r="F315" s="6">
        <v>2182.19</v>
      </c>
      <c r="G315" s="6">
        <v>49689</v>
      </c>
      <c r="H315" s="10">
        <f>(Table7[[#This Row],[close]]-F314)/F314</f>
        <v>2.8584952917550589E-3</v>
      </c>
    </row>
    <row r="316" spans="1:8" x14ac:dyDescent="0.3">
      <c r="A316" s="5">
        <v>45736</v>
      </c>
      <c r="B316" s="6" t="s">
        <v>32</v>
      </c>
      <c r="C316" s="6">
        <v>2184.89</v>
      </c>
      <c r="D316" s="6">
        <v>2216.39</v>
      </c>
      <c r="E316" s="6">
        <v>2153.39</v>
      </c>
      <c r="F316" s="6">
        <v>2178.61</v>
      </c>
      <c r="G316" s="6">
        <v>7563</v>
      </c>
      <c r="H316" s="10">
        <f>(Table7[[#This Row],[close]]-F315)/F315</f>
        <v>-1.6405537556307779E-3</v>
      </c>
    </row>
    <row r="317" spans="1:8" x14ac:dyDescent="0.3">
      <c r="A317" s="5">
        <v>45737</v>
      </c>
      <c r="B317" s="6" t="s">
        <v>32</v>
      </c>
      <c r="C317" s="6">
        <v>2153.19</v>
      </c>
      <c r="D317" s="6">
        <v>2162.37</v>
      </c>
      <c r="E317" s="6">
        <v>2144</v>
      </c>
      <c r="F317" s="6">
        <v>2161.1</v>
      </c>
      <c r="G317" s="6">
        <v>13003</v>
      </c>
      <c r="H317" s="10">
        <f>(Table7[[#This Row],[close]]-F316)/F316</f>
        <v>-8.0372347505979578E-3</v>
      </c>
    </row>
    <row r="318" spans="1:8" x14ac:dyDescent="0.3">
      <c r="A318" s="5">
        <v>45740</v>
      </c>
      <c r="B318" s="6" t="s">
        <v>32</v>
      </c>
      <c r="C318" s="6">
        <v>2148.09</v>
      </c>
      <c r="D318" s="6">
        <v>2186.21</v>
      </c>
      <c r="E318" s="6">
        <v>2109.9699999999998</v>
      </c>
      <c r="F318" s="6">
        <v>2148.6799999999998</v>
      </c>
      <c r="G318" s="6">
        <v>46350</v>
      </c>
      <c r="H318" s="10">
        <f>(Table7[[#This Row],[close]]-F317)/F317</f>
        <v>-5.7470732497339654E-3</v>
      </c>
    </row>
    <row r="319" spans="1:8" x14ac:dyDescent="0.3">
      <c r="A319" s="5">
        <v>45741</v>
      </c>
      <c r="B319" s="6" t="s">
        <v>32</v>
      </c>
      <c r="C319" s="6">
        <v>2158.59</v>
      </c>
      <c r="D319" s="6">
        <v>2177.41</v>
      </c>
      <c r="E319" s="6">
        <v>2139.77</v>
      </c>
      <c r="F319" s="6">
        <v>2165.42</v>
      </c>
      <c r="G319" s="6">
        <v>43229</v>
      </c>
      <c r="H319" s="10">
        <f>(Table7[[#This Row],[close]]-F318)/F318</f>
        <v>7.7908297187111331E-3</v>
      </c>
    </row>
    <row r="320" spans="1:8" x14ac:dyDescent="0.3">
      <c r="A320" s="5">
        <v>45742</v>
      </c>
      <c r="B320" s="6" t="s">
        <v>32</v>
      </c>
      <c r="C320" s="6">
        <v>2161.91</v>
      </c>
      <c r="D320" s="6">
        <v>2177.98</v>
      </c>
      <c r="E320" s="6">
        <v>2145.84</v>
      </c>
      <c r="F320" s="6">
        <v>2162.44</v>
      </c>
      <c r="G320" s="6">
        <v>34297</v>
      </c>
      <c r="H320" s="10">
        <f>(Table7[[#This Row],[close]]-F319)/F319</f>
        <v>-1.3761764461397872E-3</v>
      </c>
    </row>
    <row r="321" spans="1:8" x14ac:dyDescent="0.3">
      <c r="A321" s="5">
        <v>45743</v>
      </c>
      <c r="B321" s="6" t="s">
        <v>32</v>
      </c>
      <c r="C321" s="6">
        <v>2147.16</v>
      </c>
      <c r="D321" s="6">
        <v>2176.4899999999998</v>
      </c>
      <c r="E321" s="6">
        <v>2117.83</v>
      </c>
      <c r="F321" s="6">
        <v>2149.35</v>
      </c>
      <c r="G321" s="6">
        <v>28490</v>
      </c>
      <c r="H321" s="10">
        <f>(Table7[[#This Row],[close]]-F320)/F320</f>
        <v>-6.0533471448919489E-3</v>
      </c>
    </row>
    <row r="322" spans="1:8" x14ac:dyDescent="0.3">
      <c r="A322" s="5">
        <v>45744</v>
      </c>
      <c r="B322" s="6" t="s">
        <v>32</v>
      </c>
      <c r="C322" s="6">
        <v>2170.6</v>
      </c>
      <c r="D322" s="6">
        <v>2196.15</v>
      </c>
      <c r="E322" s="6">
        <v>2145.06</v>
      </c>
      <c r="F322" s="6">
        <v>2162.59</v>
      </c>
      <c r="G322" s="6">
        <v>13765</v>
      </c>
      <c r="H322" s="10">
        <f>(Table7[[#This Row],[close]]-F321)/F321</f>
        <v>6.1600018610278627E-3</v>
      </c>
    </row>
    <row r="323" spans="1:8" x14ac:dyDescent="0.3">
      <c r="A323" s="5">
        <v>45747</v>
      </c>
      <c r="B323" s="6" t="s">
        <v>32</v>
      </c>
      <c r="C323" s="6">
        <v>2175.7399999999998</v>
      </c>
      <c r="D323" s="6">
        <v>2184.8200000000002</v>
      </c>
      <c r="E323" s="6">
        <v>2166.65</v>
      </c>
      <c r="F323" s="6">
        <v>2177</v>
      </c>
      <c r="G323" s="6">
        <v>23861</v>
      </c>
      <c r="H323" s="10">
        <f>(Table7[[#This Row],[close]]-F322)/F322</f>
        <v>6.6633064982265953E-3</v>
      </c>
    </row>
    <row r="324" spans="1:8" x14ac:dyDescent="0.3">
      <c r="A324" s="5">
        <v>45748</v>
      </c>
      <c r="B324" s="6" t="s">
        <v>32</v>
      </c>
      <c r="C324" s="6">
        <v>2145.65</v>
      </c>
      <c r="D324" s="6">
        <v>2165.4899999999998</v>
      </c>
      <c r="E324" s="6">
        <v>2125.81</v>
      </c>
      <c r="F324" s="6">
        <v>2143.5100000000002</v>
      </c>
      <c r="G324" s="6">
        <v>45965</v>
      </c>
      <c r="H324" s="10">
        <f>(Table7[[#This Row],[close]]-F323)/F323</f>
        <v>-1.538355535140091E-2</v>
      </c>
    </row>
    <row r="325" spans="1:8" x14ac:dyDescent="0.3">
      <c r="A325" s="5">
        <v>45749</v>
      </c>
      <c r="B325" s="6" t="s">
        <v>32</v>
      </c>
      <c r="C325" s="6">
        <v>2164.81</v>
      </c>
      <c r="D325" s="6">
        <v>2180.7800000000002</v>
      </c>
      <c r="E325" s="6">
        <v>2148.84</v>
      </c>
      <c r="F325" s="6">
        <v>2159.52</v>
      </c>
      <c r="G325" s="6">
        <v>31523</v>
      </c>
      <c r="H325" s="10">
        <f>(Table7[[#This Row],[close]]-F324)/F324</f>
        <v>7.4690577604022198E-3</v>
      </c>
    </row>
    <row r="326" spans="1:8" x14ac:dyDescent="0.3">
      <c r="A326" s="5">
        <v>45750</v>
      </c>
      <c r="B326" s="6" t="s">
        <v>32</v>
      </c>
      <c r="C326" s="6">
        <v>2225.0100000000002</v>
      </c>
      <c r="D326" s="6">
        <v>2247.25</v>
      </c>
      <c r="E326" s="6">
        <v>2202.7600000000002</v>
      </c>
      <c r="F326" s="6">
        <v>2229.19</v>
      </c>
      <c r="G326" s="6">
        <v>36046</v>
      </c>
      <c r="H326" s="10">
        <f>(Table7[[#This Row],[close]]-F325)/F325</f>
        <v>3.226179891827817E-2</v>
      </c>
    </row>
    <row r="327" spans="1:8" x14ac:dyDescent="0.3">
      <c r="A327" s="5">
        <v>45751</v>
      </c>
      <c r="B327" s="6" t="s">
        <v>32</v>
      </c>
      <c r="C327" s="6">
        <v>2237.71</v>
      </c>
      <c r="D327" s="6">
        <v>2259.0700000000002</v>
      </c>
      <c r="E327" s="6">
        <v>2216.36</v>
      </c>
      <c r="F327" s="6">
        <v>2242.96</v>
      </c>
      <c r="G327" s="6">
        <v>46893</v>
      </c>
      <c r="H327" s="10">
        <f>(Table7[[#This Row],[close]]-F326)/F326</f>
        <v>6.1771316038561012E-3</v>
      </c>
    </row>
    <row r="328" spans="1:8" x14ac:dyDescent="0.3">
      <c r="A328" s="5">
        <v>45754</v>
      </c>
      <c r="B328" s="6" t="s">
        <v>32</v>
      </c>
      <c r="C328" s="6">
        <v>2203.44</v>
      </c>
      <c r="D328" s="6">
        <v>2224.62</v>
      </c>
      <c r="E328" s="6">
        <v>2182.27</v>
      </c>
      <c r="F328" s="6">
        <v>2195.98</v>
      </c>
      <c r="G328" s="6">
        <v>3113</v>
      </c>
      <c r="H328" s="10">
        <f>(Table7[[#This Row],[close]]-F327)/F327</f>
        <v>-2.0945536255662169E-2</v>
      </c>
    </row>
    <row r="329" spans="1:8" x14ac:dyDescent="0.3">
      <c r="A329" s="5">
        <v>45755</v>
      </c>
      <c r="B329" s="6" t="s">
        <v>32</v>
      </c>
      <c r="C329" s="6">
        <v>2220.1</v>
      </c>
      <c r="D329" s="6">
        <v>2239.19</v>
      </c>
      <c r="E329" s="6">
        <v>2201.02</v>
      </c>
      <c r="F329" s="6">
        <v>2201.42</v>
      </c>
      <c r="G329" s="6">
        <v>14760</v>
      </c>
      <c r="H329" s="10">
        <f>(Table7[[#This Row],[close]]-F328)/F328</f>
        <v>2.4772538912012196E-3</v>
      </c>
    </row>
    <row r="330" spans="1:8" x14ac:dyDescent="0.3">
      <c r="A330" s="5">
        <v>45756</v>
      </c>
      <c r="B330" s="6" t="s">
        <v>32</v>
      </c>
      <c r="C330" s="6">
        <v>2165.56</v>
      </c>
      <c r="D330" s="6">
        <v>2185.02</v>
      </c>
      <c r="E330" s="6">
        <v>2146.1</v>
      </c>
      <c r="F330" s="6">
        <v>2151.73</v>
      </c>
      <c r="G330" s="6">
        <v>13588</v>
      </c>
      <c r="H330" s="10">
        <f>(Table7[[#This Row],[close]]-F329)/F329</f>
        <v>-2.2571794568960059E-2</v>
      </c>
    </row>
    <row r="331" spans="1:8" x14ac:dyDescent="0.3">
      <c r="A331" s="5">
        <v>45757</v>
      </c>
      <c r="B331" s="6" t="s">
        <v>32</v>
      </c>
      <c r="C331" s="6">
        <v>2239.92</v>
      </c>
      <c r="D331" s="6">
        <v>2250.48</v>
      </c>
      <c r="E331" s="6">
        <v>2229.35</v>
      </c>
      <c r="F331" s="6">
        <v>2239.87</v>
      </c>
      <c r="G331" s="6">
        <v>45738</v>
      </c>
      <c r="H331" s="10">
        <f>(Table7[[#This Row],[close]]-F330)/F330</f>
        <v>4.0962388403749481E-2</v>
      </c>
    </row>
    <row r="332" spans="1:8" x14ac:dyDescent="0.3">
      <c r="A332" s="5">
        <v>45758</v>
      </c>
      <c r="B332" s="6" t="s">
        <v>32</v>
      </c>
      <c r="C332" s="6">
        <v>2306.96</v>
      </c>
      <c r="D332" s="6">
        <v>2324.77</v>
      </c>
      <c r="E332" s="6">
        <v>2289.15</v>
      </c>
      <c r="F332" s="6">
        <v>2304.4</v>
      </c>
      <c r="G332" s="6">
        <v>6724</v>
      </c>
      <c r="H332" s="10">
        <f>(Table7[[#This Row],[close]]-F331)/F331</f>
        <v>2.8809707706250898E-2</v>
      </c>
    </row>
    <row r="333" spans="1:8" x14ac:dyDescent="0.3">
      <c r="A333" s="5">
        <v>45761</v>
      </c>
      <c r="B333" s="6" t="s">
        <v>32</v>
      </c>
      <c r="C333" s="6">
        <v>2274.4499999999998</v>
      </c>
      <c r="D333" s="6">
        <v>2301.1</v>
      </c>
      <c r="E333" s="6">
        <v>2247.8000000000002</v>
      </c>
      <c r="F333" s="6">
        <v>2285.69</v>
      </c>
      <c r="G333" s="6">
        <v>43240</v>
      </c>
      <c r="H333" s="10">
        <f>(Table7[[#This Row],[close]]-F332)/F332</f>
        <v>-8.1192501301857473E-3</v>
      </c>
    </row>
    <row r="334" spans="1:8" x14ac:dyDescent="0.3">
      <c r="A334" s="5">
        <v>45762</v>
      </c>
      <c r="B334" s="6" t="s">
        <v>32</v>
      </c>
      <c r="C334" s="6">
        <v>2219.38</v>
      </c>
      <c r="D334" s="6">
        <v>2242.44</v>
      </c>
      <c r="E334" s="6">
        <v>2196.33</v>
      </c>
      <c r="F334" s="6">
        <v>2222.46</v>
      </c>
      <c r="G334" s="6">
        <v>24499</v>
      </c>
      <c r="H334" s="10">
        <f>(Table7[[#This Row],[close]]-F333)/F333</f>
        <v>-2.7663418923826073E-2</v>
      </c>
    </row>
    <row r="335" spans="1:8" x14ac:dyDescent="0.3">
      <c r="A335" s="5">
        <v>45763</v>
      </c>
      <c r="B335" s="6" t="s">
        <v>32</v>
      </c>
      <c r="C335" s="6">
        <v>2210.39</v>
      </c>
      <c r="D335" s="6">
        <v>2229.6</v>
      </c>
      <c r="E335" s="6">
        <v>2191.1799999999998</v>
      </c>
      <c r="F335" s="6">
        <v>2198.52</v>
      </c>
      <c r="G335" s="6">
        <v>7099</v>
      </c>
      <c r="H335" s="10">
        <f>(Table7[[#This Row],[close]]-F334)/F334</f>
        <v>-1.0771847412326905E-2</v>
      </c>
    </row>
    <row r="336" spans="1:8" x14ac:dyDescent="0.3">
      <c r="A336" s="5">
        <v>45764</v>
      </c>
      <c r="B336" s="6" t="s">
        <v>32</v>
      </c>
      <c r="C336" s="6">
        <v>2189.08</v>
      </c>
      <c r="D336" s="6">
        <v>2210.6799999999998</v>
      </c>
      <c r="E336" s="6">
        <v>2167.4699999999998</v>
      </c>
      <c r="F336" s="6">
        <v>2194.04</v>
      </c>
      <c r="G336" s="6">
        <v>7116</v>
      </c>
      <c r="H336" s="10">
        <f>(Table7[[#This Row],[close]]-F335)/F335</f>
        <v>-2.0377344759201729E-3</v>
      </c>
    </row>
    <row r="337" spans="1:8" x14ac:dyDescent="0.3">
      <c r="A337" s="5">
        <v>45765</v>
      </c>
      <c r="B337" s="6" t="s">
        <v>32</v>
      </c>
      <c r="C337" s="6">
        <v>2141.0500000000002</v>
      </c>
      <c r="D337" s="6">
        <v>2169.29</v>
      </c>
      <c r="E337" s="6">
        <v>2112.8200000000002</v>
      </c>
      <c r="F337" s="6">
        <v>2146.38</v>
      </c>
      <c r="G337" s="6">
        <v>10847</v>
      </c>
      <c r="H337" s="10">
        <f>(Table7[[#This Row],[close]]-F336)/F336</f>
        <v>-2.1722484549050999E-2</v>
      </c>
    </row>
    <row r="338" spans="1:8" x14ac:dyDescent="0.3">
      <c r="A338" s="5">
        <v>45768</v>
      </c>
      <c r="B338" s="6" t="s">
        <v>32</v>
      </c>
      <c r="C338" s="6">
        <v>2149.75</v>
      </c>
      <c r="D338" s="6">
        <v>2179.59</v>
      </c>
      <c r="E338" s="6">
        <v>2119.92</v>
      </c>
      <c r="F338" s="6">
        <v>2145.0300000000002</v>
      </c>
      <c r="G338" s="6">
        <v>2742</v>
      </c>
      <c r="H338" s="10">
        <f>(Table7[[#This Row],[close]]-F337)/F337</f>
        <v>-6.2896597992895427E-4</v>
      </c>
    </row>
    <row r="339" spans="1:8" x14ac:dyDescent="0.3">
      <c r="A339" s="5">
        <v>45769</v>
      </c>
      <c r="B339" s="6" t="s">
        <v>32</v>
      </c>
      <c r="C339" s="6">
        <v>2140.86</v>
      </c>
      <c r="D339" s="6">
        <v>2164.37</v>
      </c>
      <c r="E339" s="6">
        <v>2117.36</v>
      </c>
      <c r="F339" s="6">
        <v>2140.4699999999998</v>
      </c>
      <c r="G339" s="6">
        <v>35707</v>
      </c>
      <c r="H339" s="10">
        <f>(Table7[[#This Row],[close]]-F338)/F338</f>
        <v>-2.1258443937848888E-3</v>
      </c>
    </row>
    <row r="340" spans="1:8" x14ac:dyDescent="0.3">
      <c r="A340" s="5">
        <v>45770</v>
      </c>
      <c r="B340" s="6" t="s">
        <v>32</v>
      </c>
      <c r="C340" s="6">
        <v>2148.92</v>
      </c>
      <c r="D340" s="6">
        <v>2155.9299999999998</v>
      </c>
      <c r="E340" s="6">
        <v>2141.91</v>
      </c>
      <c r="F340" s="6">
        <v>2144.36</v>
      </c>
      <c r="G340" s="6">
        <v>48614</v>
      </c>
      <c r="H340" s="10">
        <f>(Table7[[#This Row],[close]]-F339)/F339</f>
        <v>1.8173578700006671E-3</v>
      </c>
    </row>
    <row r="341" spans="1:8" x14ac:dyDescent="0.3">
      <c r="A341" s="5">
        <v>45771</v>
      </c>
      <c r="B341" s="6" t="s">
        <v>32</v>
      </c>
      <c r="C341" s="6">
        <v>2154.9499999999998</v>
      </c>
      <c r="D341" s="6">
        <v>2161.0300000000002</v>
      </c>
      <c r="E341" s="6">
        <v>2148.86</v>
      </c>
      <c r="F341" s="6">
        <v>2151.09</v>
      </c>
      <c r="G341" s="6">
        <v>16360</v>
      </c>
      <c r="H341" s="10">
        <f>(Table7[[#This Row],[close]]-F340)/F340</f>
        <v>3.1384655561566238E-3</v>
      </c>
    </row>
    <row r="342" spans="1:8" x14ac:dyDescent="0.3">
      <c r="A342" s="5">
        <v>45772</v>
      </c>
      <c r="B342" s="6" t="s">
        <v>32</v>
      </c>
      <c r="C342" s="6">
        <v>2118.5700000000002</v>
      </c>
      <c r="D342" s="6">
        <v>2130.77</v>
      </c>
      <c r="E342" s="6">
        <v>2106.36</v>
      </c>
      <c r="F342" s="6">
        <v>2125.58</v>
      </c>
      <c r="G342" s="6">
        <v>29404</v>
      </c>
      <c r="H342" s="10">
        <f>(Table7[[#This Row],[close]]-F341)/F341</f>
        <v>-1.1859103989140489E-2</v>
      </c>
    </row>
    <row r="343" spans="1:8" x14ac:dyDescent="0.3">
      <c r="A343" s="5">
        <v>45775</v>
      </c>
      <c r="B343" s="6" t="s">
        <v>32</v>
      </c>
      <c r="C343" s="6">
        <v>2103.04</v>
      </c>
      <c r="D343" s="6">
        <v>2107.08</v>
      </c>
      <c r="E343" s="6">
        <v>2099.0100000000002</v>
      </c>
      <c r="F343" s="6">
        <v>2103.35</v>
      </c>
      <c r="G343" s="6">
        <v>34997</v>
      </c>
      <c r="H343" s="10">
        <f>(Table7[[#This Row],[close]]-F342)/F342</f>
        <v>-1.0458321963887513E-2</v>
      </c>
    </row>
    <row r="344" spans="1:8" x14ac:dyDescent="0.3">
      <c r="A344" s="5">
        <v>45776</v>
      </c>
      <c r="B344" s="6" t="s">
        <v>32</v>
      </c>
      <c r="C344" s="6">
        <v>2111.1799999999998</v>
      </c>
      <c r="D344" s="6">
        <v>2134.04</v>
      </c>
      <c r="E344" s="6">
        <v>2088.33</v>
      </c>
      <c r="F344" s="6">
        <v>2105.06</v>
      </c>
      <c r="G344" s="6">
        <v>36057</v>
      </c>
      <c r="H344" s="10">
        <f>(Table7[[#This Row],[close]]-F343)/F343</f>
        <v>8.1298880357526639E-4</v>
      </c>
    </row>
    <row r="345" spans="1:8" x14ac:dyDescent="0.3">
      <c r="A345" s="5">
        <v>45777</v>
      </c>
      <c r="B345" s="6" t="s">
        <v>32</v>
      </c>
      <c r="C345" s="6">
        <v>2108.9499999999998</v>
      </c>
      <c r="D345" s="6">
        <v>2129.21</v>
      </c>
      <c r="E345" s="6">
        <v>2088.6799999999998</v>
      </c>
      <c r="F345" s="6">
        <v>2088.89</v>
      </c>
      <c r="G345" s="6">
        <v>46272</v>
      </c>
      <c r="H345" s="10">
        <f>(Table7[[#This Row],[close]]-F344)/F344</f>
        <v>-7.6814912639070016E-3</v>
      </c>
    </row>
    <row r="346" spans="1:8" x14ac:dyDescent="0.3">
      <c r="A346" s="5">
        <v>45778</v>
      </c>
      <c r="B346" s="6" t="s">
        <v>32</v>
      </c>
      <c r="C346" s="6">
        <v>2108.58</v>
      </c>
      <c r="D346" s="6">
        <v>2140.4299999999998</v>
      </c>
      <c r="E346" s="6">
        <v>2076.73</v>
      </c>
      <c r="F346" s="6">
        <v>2113.41</v>
      </c>
      <c r="G346" s="6">
        <v>7638</v>
      </c>
      <c r="H346" s="10">
        <f>(Table7[[#This Row],[close]]-F345)/F345</f>
        <v>1.1738291628568275E-2</v>
      </c>
    </row>
    <row r="347" spans="1:8" x14ac:dyDescent="0.3">
      <c r="A347" s="5">
        <v>45779</v>
      </c>
      <c r="B347" s="6" t="s">
        <v>32</v>
      </c>
      <c r="C347" s="6">
        <v>2118.66</v>
      </c>
      <c r="D347" s="6">
        <v>2136.94</v>
      </c>
      <c r="E347" s="6">
        <v>2100.38</v>
      </c>
      <c r="F347" s="6">
        <v>2114.87</v>
      </c>
      <c r="G347" s="6">
        <v>14605</v>
      </c>
      <c r="H347" s="10">
        <f>(Table7[[#This Row],[close]]-F346)/F346</f>
        <v>6.9082667348031683E-4</v>
      </c>
    </row>
    <row r="348" spans="1:8" x14ac:dyDescent="0.3">
      <c r="A348" s="5">
        <v>45782</v>
      </c>
      <c r="B348" s="6" t="s">
        <v>32</v>
      </c>
      <c r="C348" s="6">
        <v>2168.0500000000002</v>
      </c>
      <c r="D348" s="6">
        <v>2171.7199999999998</v>
      </c>
      <c r="E348" s="6">
        <v>2164.37</v>
      </c>
      <c r="F348" s="6">
        <v>2165.67</v>
      </c>
      <c r="G348" s="6">
        <v>33556</v>
      </c>
      <c r="H348" s="10">
        <f>(Table7[[#This Row],[close]]-F347)/F347</f>
        <v>2.402038896007801E-2</v>
      </c>
    </row>
    <row r="349" spans="1:8" x14ac:dyDescent="0.3">
      <c r="A349" s="5">
        <v>45783</v>
      </c>
      <c r="B349" s="6" t="s">
        <v>32</v>
      </c>
      <c r="C349" s="6">
        <v>2171.27</v>
      </c>
      <c r="D349" s="6">
        <v>2194.98</v>
      </c>
      <c r="E349" s="6">
        <v>2147.5500000000002</v>
      </c>
      <c r="F349" s="6">
        <v>2188.69</v>
      </c>
      <c r="G349" s="6">
        <v>18275</v>
      </c>
      <c r="H349" s="10">
        <f>(Table7[[#This Row],[close]]-F348)/F348</f>
        <v>1.0629504956895549E-2</v>
      </c>
    </row>
    <row r="350" spans="1:8" x14ac:dyDescent="0.3">
      <c r="A350" s="5">
        <v>45784</v>
      </c>
      <c r="B350" s="6" t="s">
        <v>32</v>
      </c>
      <c r="C350" s="6">
        <v>2213.29</v>
      </c>
      <c r="D350" s="6">
        <v>2249.77</v>
      </c>
      <c r="E350" s="6">
        <v>2176.81</v>
      </c>
      <c r="F350" s="6">
        <v>2219.87</v>
      </c>
      <c r="G350" s="6">
        <v>42974</v>
      </c>
      <c r="H350" s="10">
        <f>(Table7[[#This Row],[close]]-F349)/F349</f>
        <v>1.4245964481036526E-2</v>
      </c>
    </row>
    <row r="351" spans="1:8" x14ac:dyDescent="0.3">
      <c r="A351" s="5">
        <v>45785</v>
      </c>
      <c r="B351" s="6" t="s">
        <v>32</v>
      </c>
      <c r="C351" s="6">
        <v>2229.1999999999998</v>
      </c>
      <c r="D351" s="6">
        <v>2254.0300000000002</v>
      </c>
      <c r="E351" s="6">
        <v>2204.37</v>
      </c>
      <c r="F351" s="6">
        <v>2224.11</v>
      </c>
      <c r="G351" s="6">
        <v>38380</v>
      </c>
      <c r="H351" s="10">
        <f>(Table7[[#This Row],[close]]-F350)/F350</f>
        <v>1.9100217580309822E-3</v>
      </c>
    </row>
    <row r="352" spans="1:8" x14ac:dyDescent="0.3">
      <c r="A352" s="5">
        <v>45786</v>
      </c>
      <c r="B352" s="6" t="s">
        <v>32</v>
      </c>
      <c r="C352" s="6">
        <v>2244.84</v>
      </c>
      <c r="D352" s="6">
        <v>2272</v>
      </c>
      <c r="E352" s="6">
        <v>2217.67</v>
      </c>
      <c r="F352" s="6">
        <v>2229.0500000000002</v>
      </c>
      <c r="G352" s="6">
        <v>49320</v>
      </c>
      <c r="H352" s="10">
        <f>(Table7[[#This Row],[close]]-F351)/F351</f>
        <v>2.2211131643668949E-3</v>
      </c>
    </row>
    <row r="353" spans="1:8" x14ac:dyDescent="0.3">
      <c r="A353" s="5">
        <v>45789</v>
      </c>
      <c r="B353" s="6" t="s">
        <v>32</v>
      </c>
      <c r="C353" s="6">
        <v>2276.33</v>
      </c>
      <c r="D353" s="6">
        <v>2316.9499999999998</v>
      </c>
      <c r="E353" s="6">
        <v>2235.6999999999998</v>
      </c>
      <c r="F353" s="6">
        <v>2278.75</v>
      </c>
      <c r="G353" s="6">
        <v>23473</v>
      </c>
      <c r="H353" s="10">
        <f>(Table7[[#This Row],[close]]-F352)/F352</f>
        <v>2.2296494022116961E-2</v>
      </c>
    </row>
    <row r="354" spans="1:8" x14ac:dyDescent="0.3">
      <c r="A354" s="5">
        <v>45790</v>
      </c>
      <c r="B354" s="6" t="s">
        <v>32</v>
      </c>
      <c r="C354" s="6">
        <v>2263.3200000000002</v>
      </c>
      <c r="D354" s="6">
        <v>2269.25</v>
      </c>
      <c r="E354" s="6">
        <v>2257.38</v>
      </c>
      <c r="F354" s="6">
        <v>2268.46</v>
      </c>
      <c r="G354" s="6">
        <v>25089</v>
      </c>
      <c r="H354" s="10">
        <f>(Table7[[#This Row],[close]]-F353)/F353</f>
        <v>-4.5156335710367368E-3</v>
      </c>
    </row>
    <row r="355" spans="1:8" x14ac:dyDescent="0.3">
      <c r="A355" s="5">
        <v>45791</v>
      </c>
      <c r="B355" s="6" t="s">
        <v>32</v>
      </c>
      <c r="C355" s="6">
        <v>2291.5</v>
      </c>
      <c r="D355" s="6">
        <v>2324.39</v>
      </c>
      <c r="E355" s="6">
        <v>2258.61</v>
      </c>
      <c r="F355" s="6">
        <v>2284.6799999999998</v>
      </c>
      <c r="G355" s="6">
        <v>30259</v>
      </c>
      <c r="H355" s="10">
        <f>(Table7[[#This Row],[close]]-F354)/F354</f>
        <v>7.1502252629536333E-3</v>
      </c>
    </row>
    <row r="356" spans="1:8" x14ac:dyDescent="0.3">
      <c r="A356" s="5">
        <v>45792</v>
      </c>
      <c r="B356" s="6" t="s">
        <v>32</v>
      </c>
      <c r="C356" s="6">
        <v>2262.0300000000002</v>
      </c>
      <c r="D356" s="6">
        <v>2282.73</v>
      </c>
      <c r="E356" s="6">
        <v>2241.34</v>
      </c>
      <c r="F356" s="6">
        <v>2277.5700000000002</v>
      </c>
      <c r="G356" s="6">
        <v>31659</v>
      </c>
      <c r="H356" s="10">
        <f>(Table7[[#This Row],[close]]-F355)/F355</f>
        <v>-3.112033195020604E-3</v>
      </c>
    </row>
    <row r="357" spans="1:8" x14ac:dyDescent="0.3">
      <c r="A357" s="5">
        <v>45793</v>
      </c>
      <c r="B357" s="6" t="s">
        <v>32</v>
      </c>
      <c r="C357" s="6">
        <v>2280.88</v>
      </c>
      <c r="D357" s="6">
        <v>2301.14</v>
      </c>
      <c r="E357" s="6">
        <v>2260.63</v>
      </c>
      <c r="F357" s="6">
        <v>2270.42</v>
      </c>
      <c r="G357" s="6">
        <v>48055</v>
      </c>
      <c r="H357" s="10">
        <f>(Table7[[#This Row],[close]]-F356)/F356</f>
        <v>-3.1393107566397918E-3</v>
      </c>
    </row>
    <row r="358" spans="1:8" x14ac:dyDescent="0.3">
      <c r="A358" s="5">
        <v>45796</v>
      </c>
      <c r="B358" s="6" t="s">
        <v>32</v>
      </c>
      <c r="C358" s="6">
        <v>2241.34</v>
      </c>
      <c r="D358" s="6">
        <v>2274.77</v>
      </c>
      <c r="E358" s="6">
        <v>2207.91</v>
      </c>
      <c r="F358" s="6">
        <v>2237.7600000000002</v>
      </c>
      <c r="G358" s="6">
        <v>27984</v>
      </c>
      <c r="H358" s="10">
        <f>(Table7[[#This Row],[close]]-F357)/F357</f>
        <v>-1.4385003655711213E-2</v>
      </c>
    </row>
    <row r="359" spans="1:8" x14ac:dyDescent="0.3">
      <c r="A359" s="5">
        <v>45797</v>
      </c>
      <c r="B359" s="6" t="s">
        <v>32</v>
      </c>
      <c r="C359" s="6">
        <v>2205.23</v>
      </c>
      <c r="D359" s="6">
        <v>2222.1799999999998</v>
      </c>
      <c r="E359" s="6">
        <v>2188.2800000000002</v>
      </c>
      <c r="F359" s="6">
        <v>2217.4499999999998</v>
      </c>
      <c r="G359" s="6">
        <v>38873</v>
      </c>
      <c r="H359" s="10">
        <f>(Table7[[#This Row],[close]]-F358)/F358</f>
        <v>-9.0760403260405041E-3</v>
      </c>
    </row>
    <row r="360" spans="1:8" x14ac:dyDescent="0.3">
      <c r="A360" s="5">
        <v>45798</v>
      </c>
      <c r="B360" s="6" t="s">
        <v>32</v>
      </c>
      <c r="C360" s="6">
        <v>2198.48</v>
      </c>
      <c r="D360" s="6">
        <v>2218.7199999999998</v>
      </c>
      <c r="E360" s="6">
        <v>2178.25</v>
      </c>
      <c r="F360" s="6">
        <v>2192.19</v>
      </c>
      <c r="G360" s="6">
        <v>8848</v>
      </c>
      <c r="H360" s="10">
        <f>(Table7[[#This Row],[close]]-F359)/F359</f>
        <v>-1.1391463167151353E-2</v>
      </c>
    </row>
    <row r="361" spans="1:8" x14ac:dyDescent="0.3">
      <c r="A361" s="5">
        <v>45799</v>
      </c>
      <c r="B361" s="6" t="s">
        <v>32</v>
      </c>
      <c r="C361" s="6">
        <v>2214.52</v>
      </c>
      <c r="D361" s="6">
        <v>2253.09</v>
      </c>
      <c r="E361" s="6">
        <v>2175.9499999999998</v>
      </c>
      <c r="F361" s="6">
        <v>2209.1999999999998</v>
      </c>
      <c r="G361" s="6">
        <v>20614</v>
      </c>
      <c r="H361" s="10">
        <f>(Table7[[#This Row],[close]]-F360)/F360</f>
        <v>7.7593639237473772E-3</v>
      </c>
    </row>
    <row r="362" spans="1:8" x14ac:dyDescent="0.3">
      <c r="A362" s="5">
        <v>45800</v>
      </c>
      <c r="B362" s="6" t="s">
        <v>32</v>
      </c>
      <c r="C362" s="6">
        <v>2235.7399999999998</v>
      </c>
      <c r="D362" s="6">
        <v>2271.94</v>
      </c>
      <c r="E362" s="6">
        <v>2199.5300000000002</v>
      </c>
      <c r="F362" s="6">
        <v>2238.87</v>
      </c>
      <c r="G362" s="6">
        <v>49508</v>
      </c>
      <c r="H362" s="10">
        <f>(Table7[[#This Row],[close]]-F361)/F361</f>
        <v>1.3430200977729529E-2</v>
      </c>
    </row>
    <row r="363" spans="1:8" x14ac:dyDescent="0.3">
      <c r="A363" s="5">
        <v>45803</v>
      </c>
      <c r="B363" s="6" t="s">
        <v>32</v>
      </c>
      <c r="C363" s="6">
        <v>2233.14</v>
      </c>
      <c r="D363" s="6">
        <v>2270.96</v>
      </c>
      <c r="E363" s="6">
        <v>2195.3200000000002</v>
      </c>
      <c r="F363" s="6">
        <v>2236.73</v>
      </c>
      <c r="G363" s="6">
        <v>5114</v>
      </c>
      <c r="H363" s="10">
        <f>(Table7[[#This Row],[close]]-F362)/F362</f>
        <v>-9.5583932966178148E-4</v>
      </c>
    </row>
    <row r="364" spans="1:8" x14ac:dyDescent="0.3">
      <c r="A364" s="5">
        <v>45804</v>
      </c>
      <c r="B364" s="6" t="s">
        <v>32</v>
      </c>
      <c r="C364" s="6">
        <v>2244.77</v>
      </c>
      <c r="D364" s="6">
        <v>2280</v>
      </c>
      <c r="E364" s="6">
        <v>2209.54</v>
      </c>
      <c r="F364" s="6">
        <v>2243.75</v>
      </c>
      <c r="G364" s="6">
        <v>34768</v>
      </c>
      <c r="H364" s="10">
        <f>(Table7[[#This Row],[close]]-F363)/F363</f>
        <v>3.1385102359247569E-3</v>
      </c>
    </row>
    <row r="365" spans="1:8" x14ac:dyDescent="0.3">
      <c r="A365" s="5">
        <v>45805</v>
      </c>
      <c r="B365" s="6" t="s">
        <v>32</v>
      </c>
      <c r="C365" s="6">
        <v>2227.62</v>
      </c>
      <c r="D365" s="6">
        <v>2254.19</v>
      </c>
      <c r="E365" s="6">
        <v>2201.0500000000002</v>
      </c>
      <c r="F365" s="6">
        <v>2239.98</v>
      </c>
      <c r="G365" s="6">
        <v>4712</v>
      </c>
      <c r="H365" s="10">
        <f>(Table7[[#This Row],[close]]-F364)/F364</f>
        <v>-1.6802228412256186E-3</v>
      </c>
    </row>
    <row r="366" spans="1:8" x14ac:dyDescent="0.3">
      <c r="A366" s="5">
        <v>45806</v>
      </c>
      <c r="B366" s="6" t="s">
        <v>32</v>
      </c>
      <c r="C366" s="6">
        <v>2208.33</v>
      </c>
      <c r="D366" s="6">
        <v>2223.0700000000002</v>
      </c>
      <c r="E366" s="6">
        <v>2193.59</v>
      </c>
      <c r="F366" s="6">
        <v>2217.7399999999998</v>
      </c>
      <c r="G366" s="6">
        <v>27200</v>
      </c>
      <c r="H366" s="10">
        <f>(Table7[[#This Row],[close]]-F365)/F365</f>
        <v>-9.9286600773222239E-3</v>
      </c>
    </row>
    <row r="367" spans="1:8" x14ac:dyDescent="0.3">
      <c r="A367" s="5">
        <v>45807</v>
      </c>
      <c r="B367" s="6" t="s">
        <v>32</v>
      </c>
      <c r="C367" s="6">
        <v>2235.73</v>
      </c>
      <c r="D367" s="6">
        <v>2257.2199999999998</v>
      </c>
      <c r="E367" s="6">
        <v>2214.23</v>
      </c>
      <c r="F367" s="6">
        <v>2242.5</v>
      </c>
      <c r="G367" s="6">
        <v>38574</v>
      </c>
      <c r="H367" s="10">
        <f>(Table7[[#This Row],[close]]-F366)/F366</f>
        <v>1.1164518834489264E-2</v>
      </c>
    </row>
    <row r="368" spans="1:8" x14ac:dyDescent="0.3">
      <c r="A368" s="5">
        <v>45810</v>
      </c>
      <c r="B368" s="6" t="s">
        <v>32</v>
      </c>
      <c r="C368" s="6">
        <v>2265.69</v>
      </c>
      <c r="D368" s="6">
        <v>2287.0300000000002</v>
      </c>
      <c r="E368" s="6">
        <v>2244.34</v>
      </c>
      <c r="F368" s="6">
        <v>2261.5500000000002</v>
      </c>
      <c r="G368" s="6">
        <v>32324</v>
      </c>
      <c r="H368" s="10">
        <f>(Table7[[#This Row],[close]]-F367)/F367</f>
        <v>8.4949832775920546E-3</v>
      </c>
    </row>
    <row r="369" spans="1:8" x14ac:dyDescent="0.3">
      <c r="A369" s="5">
        <v>45811</v>
      </c>
      <c r="B369" s="6" t="s">
        <v>32</v>
      </c>
      <c r="C369" s="6">
        <v>2213.4499999999998</v>
      </c>
      <c r="D369" s="6">
        <v>2228.61</v>
      </c>
      <c r="E369" s="6">
        <v>2198.29</v>
      </c>
      <c r="F369" s="6">
        <v>2208.79</v>
      </c>
      <c r="G369" s="6">
        <v>29144</v>
      </c>
      <c r="H369" s="10">
        <f>(Table7[[#This Row],[close]]-F368)/F368</f>
        <v>-2.3329132674493252E-2</v>
      </c>
    </row>
    <row r="370" spans="1:8" x14ac:dyDescent="0.3">
      <c r="A370" s="5">
        <v>45812</v>
      </c>
      <c r="B370" s="6" t="s">
        <v>32</v>
      </c>
      <c r="C370" s="6">
        <v>2210.91</v>
      </c>
      <c r="D370" s="6">
        <v>2221.0100000000002</v>
      </c>
      <c r="E370" s="6">
        <v>2200.8000000000002</v>
      </c>
      <c r="F370" s="6">
        <v>2201.4499999999998</v>
      </c>
      <c r="G370" s="6">
        <v>45298</v>
      </c>
      <c r="H370" s="10">
        <f>(Table7[[#This Row],[close]]-F369)/F369</f>
        <v>-3.3230863957189891E-3</v>
      </c>
    </row>
    <row r="371" spans="1:8" x14ac:dyDescent="0.3">
      <c r="A371" s="5">
        <v>45813</v>
      </c>
      <c r="B371" s="6" t="s">
        <v>32</v>
      </c>
      <c r="C371" s="6">
        <v>2176.23</v>
      </c>
      <c r="D371" s="6">
        <v>2203.92</v>
      </c>
      <c r="E371" s="6">
        <v>2148.5300000000002</v>
      </c>
      <c r="F371" s="6">
        <v>2177.64</v>
      </c>
      <c r="G371" s="6">
        <v>26537</v>
      </c>
      <c r="H371" s="10">
        <f>(Table7[[#This Row],[close]]-F370)/F370</f>
        <v>-1.0815598809875286E-2</v>
      </c>
    </row>
    <row r="372" spans="1:8" x14ac:dyDescent="0.3">
      <c r="A372" s="5">
        <v>45814</v>
      </c>
      <c r="B372" s="6" t="s">
        <v>32</v>
      </c>
      <c r="C372" s="6">
        <v>2169.27</v>
      </c>
      <c r="D372" s="6">
        <v>2187.5500000000002</v>
      </c>
      <c r="E372" s="6">
        <v>2150.9899999999998</v>
      </c>
      <c r="F372" s="6">
        <v>2167.4499999999998</v>
      </c>
      <c r="G372" s="6">
        <v>29441</v>
      </c>
      <c r="H372" s="10">
        <f>(Table7[[#This Row],[close]]-F371)/F371</f>
        <v>-4.6793776749141525E-3</v>
      </c>
    </row>
    <row r="373" spans="1:8" x14ac:dyDescent="0.3">
      <c r="A373" s="5">
        <v>45817</v>
      </c>
      <c r="B373" s="6" t="s">
        <v>32</v>
      </c>
      <c r="C373" s="6">
        <v>2151.98</v>
      </c>
      <c r="D373" s="6">
        <v>2190.64</v>
      </c>
      <c r="E373" s="6">
        <v>2113.31</v>
      </c>
      <c r="F373" s="6">
        <v>2149.73</v>
      </c>
      <c r="G373" s="6">
        <v>27523</v>
      </c>
      <c r="H373" s="10">
        <f>(Table7[[#This Row],[close]]-F372)/F372</f>
        <v>-8.1755057786799239E-3</v>
      </c>
    </row>
    <row r="374" spans="1:8" x14ac:dyDescent="0.3">
      <c r="A374" s="5">
        <v>45818</v>
      </c>
      <c r="B374" s="6" t="s">
        <v>32</v>
      </c>
      <c r="C374" s="6">
        <v>2142.21</v>
      </c>
      <c r="D374" s="6">
        <v>2150.09</v>
      </c>
      <c r="E374" s="6">
        <v>2134.3200000000002</v>
      </c>
      <c r="F374" s="6">
        <v>2148.9899999999998</v>
      </c>
      <c r="G374" s="6">
        <v>33779</v>
      </c>
      <c r="H374" s="10">
        <f>(Table7[[#This Row],[close]]-F373)/F373</f>
        <v>-3.4422927530445056E-4</v>
      </c>
    </row>
    <row r="375" spans="1:8" x14ac:dyDescent="0.3">
      <c r="A375" s="5">
        <v>45819</v>
      </c>
      <c r="B375" s="6" t="s">
        <v>32</v>
      </c>
      <c r="C375" s="6">
        <v>2132.5</v>
      </c>
      <c r="D375" s="6">
        <v>2146.96</v>
      </c>
      <c r="E375" s="6">
        <v>2118.04</v>
      </c>
      <c r="F375" s="6">
        <v>2140.58</v>
      </c>
      <c r="G375" s="6">
        <v>28598</v>
      </c>
      <c r="H375" s="10">
        <f>(Table7[[#This Row],[close]]-F374)/F374</f>
        <v>-3.9134663260414681E-3</v>
      </c>
    </row>
    <row r="376" spans="1:8" x14ac:dyDescent="0.3">
      <c r="A376" s="5">
        <v>45820</v>
      </c>
      <c r="B376" s="6" t="s">
        <v>32</v>
      </c>
      <c r="C376" s="6">
        <v>2130.06</v>
      </c>
      <c r="D376" s="6">
        <v>2154.39</v>
      </c>
      <c r="E376" s="6">
        <v>2105.73</v>
      </c>
      <c r="F376" s="6">
        <v>2131.64</v>
      </c>
      <c r="G376" s="6">
        <v>26519</v>
      </c>
      <c r="H376" s="10">
        <f>(Table7[[#This Row],[close]]-F375)/F375</f>
        <v>-4.1764381616197733E-3</v>
      </c>
    </row>
    <row r="377" spans="1:8" x14ac:dyDescent="0.3">
      <c r="A377" s="5">
        <v>45821</v>
      </c>
      <c r="B377" s="6" t="s">
        <v>32</v>
      </c>
      <c r="C377" s="6">
        <v>2157.84</v>
      </c>
      <c r="D377" s="6">
        <v>2185.86</v>
      </c>
      <c r="E377" s="6">
        <v>2129.81</v>
      </c>
      <c r="F377" s="6">
        <v>2162.11</v>
      </c>
      <c r="G377" s="6">
        <v>27987</v>
      </c>
      <c r="H377" s="10">
        <f>(Table7[[#This Row],[close]]-F376)/F376</f>
        <v>1.4294158488300209E-2</v>
      </c>
    </row>
    <row r="378" spans="1:8" x14ac:dyDescent="0.3">
      <c r="A378" s="5">
        <v>45824</v>
      </c>
      <c r="B378" s="6" t="s">
        <v>32</v>
      </c>
      <c r="C378" s="6">
        <v>2198.27</v>
      </c>
      <c r="D378" s="6">
        <v>2219.48</v>
      </c>
      <c r="E378" s="6">
        <v>2177.06</v>
      </c>
      <c r="F378" s="6">
        <v>2177.86</v>
      </c>
      <c r="G378" s="6">
        <v>34174</v>
      </c>
      <c r="H378" s="10">
        <f>(Table7[[#This Row],[close]]-F377)/F377</f>
        <v>7.2845507397865973E-3</v>
      </c>
    </row>
    <row r="379" spans="1:8" x14ac:dyDescent="0.3">
      <c r="A379" s="5">
        <v>45825</v>
      </c>
      <c r="B379" s="6" t="s">
        <v>32</v>
      </c>
      <c r="C379" s="6">
        <v>2149.08</v>
      </c>
      <c r="D379" s="6">
        <v>2177.75</v>
      </c>
      <c r="E379" s="6">
        <v>2120.42</v>
      </c>
      <c r="F379" s="6">
        <v>2159.14</v>
      </c>
      <c r="G379" s="6">
        <v>28764</v>
      </c>
      <c r="H379" s="10">
        <f>(Table7[[#This Row],[close]]-F378)/F378</f>
        <v>-8.5955938398245314E-3</v>
      </c>
    </row>
    <row r="380" spans="1:8" x14ac:dyDescent="0.3">
      <c r="A380" s="5">
        <v>45826</v>
      </c>
      <c r="B380" s="6" t="s">
        <v>32</v>
      </c>
      <c r="C380" s="6">
        <v>2158.63</v>
      </c>
      <c r="D380" s="6">
        <v>2183.11</v>
      </c>
      <c r="E380" s="6">
        <v>2134.15</v>
      </c>
      <c r="F380" s="6">
        <v>2144.59</v>
      </c>
      <c r="G380" s="6">
        <v>9906</v>
      </c>
      <c r="H380" s="10">
        <f>(Table7[[#This Row],[close]]-F379)/F379</f>
        <v>-6.7387941495223695E-3</v>
      </c>
    </row>
    <row r="381" spans="1:8" x14ac:dyDescent="0.3">
      <c r="A381" s="5">
        <v>45827</v>
      </c>
      <c r="B381" s="6" t="s">
        <v>32</v>
      </c>
      <c r="C381" s="6">
        <v>2162.38</v>
      </c>
      <c r="D381" s="6">
        <v>2174.84</v>
      </c>
      <c r="E381" s="6">
        <v>2149.92</v>
      </c>
      <c r="F381" s="6">
        <v>2158.44</v>
      </c>
      <c r="G381" s="6">
        <v>38650</v>
      </c>
      <c r="H381" s="10">
        <f>(Table7[[#This Row],[close]]-F380)/F380</f>
        <v>6.4581108743395742E-3</v>
      </c>
    </row>
    <row r="382" spans="1:8" x14ac:dyDescent="0.3">
      <c r="A382" s="5">
        <v>45828</v>
      </c>
      <c r="B382" s="6" t="s">
        <v>32</v>
      </c>
      <c r="C382" s="6">
        <v>2163.98</v>
      </c>
      <c r="D382" s="6">
        <v>2176.7399999999998</v>
      </c>
      <c r="E382" s="6">
        <v>2151.2199999999998</v>
      </c>
      <c r="F382" s="6">
        <v>2172.33</v>
      </c>
      <c r="G382" s="6">
        <v>8151</v>
      </c>
      <c r="H382" s="10">
        <f>(Table7[[#This Row],[close]]-F381)/F381</f>
        <v>6.4352032023127226E-3</v>
      </c>
    </row>
    <row r="383" spans="1:8" x14ac:dyDescent="0.3">
      <c r="A383" s="5">
        <v>45831</v>
      </c>
      <c r="B383" s="6" t="s">
        <v>32</v>
      </c>
      <c r="C383" s="6">
        <v>2153.21</v>
      </c>
      <c r="D383" s="6">
        <v>2178.94</v>
      </c>
      <c r="E383" s="6">
        <v>2127.48</v>
      </c>
      <c r="F383" s="6">
        <v>2156.38</v>
      </c>
      <c r="G383" s="6">
        <v>43652</v>
      </c>
      <c r="H383" s="10">
        <f>(Table7[[#This Row],[close]]-F382)/F382</f>
        <v>-7.3423466968645735E-3</v>
      </c>
    </row>
    <row r="384" spans="1:8" x14ac:dyDescent="0.3">
      <c r="A384" s="5">
        <v>45832</v>
      </c>
      <c r="B384" s="6" t="s">
        <v>32</v>
      </c>
      <c r="C384" s="6">
        <v>2156.2199999999998</v>
      </c>
      <c r="D384" s="6">
        <v>2185.09</v>
      </c>
      <c r="E384" s="6">
        <v>2127.36</v>
      </c>
      <c r="F384" s="6">
        <v>2150.5500000000002</v>
      </c>
      <c r="G384" s="6">
        <v>43641</v>
      </c>
      <c r="H384" s="10">
        <f>(Table7[[#This Row],[close]]-F383)/F383</f>
        <v>-2.7036051159813794E-3</v>
      </c>
    </row>
    <row r="385" spans="1:8" x14ac:dyDescent="0.3">
      <c r="A385" s="5">
        <v>45833</v>
      </c>
      <c r="B385" s="6" t="s">
        <v>32</v>
      </c>
      <c r="C385" s="6">
        <v>2189</v>
      </c>
      <c r="D385" s="6">
        <v>2219.3000000000002</v>
      </c>
      <c r="E385" s="6">
        <v>2158.69</v>
      </c>
      <c r="F385" s="6">
        <v>2201.6999999999998</v>
      </c>
      <c r="G385" s="6">
        <v>35905</v>
      </c>
      <c r="H385" s="10">
        <f>(Table7[[#This Row],[close]]-F384)/F384</f>
        <v>2.3784613238473709E-2</v>
      </c>
    </row>
    <row r="386" spans="1:8" x14ac:dyDescent="0.3">
      <c r="A386" s="5">
        <v>45834</v>
      </c>
      <c r="B386" s="6" t="s">
        <v>32</v>
      </c>
      <c r="C386" s="6">
        <v>2184.71</v>
      </c>
      <c r="D386" s="6">
        <v>2191.33</v>
      </c>
      <c r="E386" s="6">
        <v>2178.09</v>
      </c>
      <c r="F386" s="6">
        <v>2186.0100000000002</v>
      </c>
      <c r="G386" s="6">
        <v>49478</v>
      </c>
      <c r="H386" s="10">
        <f>(Table7[[#This Row],[close]]-F385)/F385</f>
        <v>-7.126311486578372E-3</v>
      </c>
    </row>
    <row r="387" spans="1:8" x14ac:dyDescent="0.3">
      <c r="A387" s="5">
        <v>45835</v>
      </c>
      <c r="B387" s="6" t="s">
        <v>32</v>
      </c>
      <c r="C387" s="6">
        <v>2241.14</v>
      </c>
      <c r="D387" s="6">
        <v>2278.3000000000002</v>
      </c>
      <c r="E387" s="6">
        <v>2203.98</v>
      </c>
      <c r="F387" s="6">
        <v>2239.8000000000002</v>
      </c>
      <c r="G387" s="6">
        <v>4654</v>
      </c>
      <c r="H387" s="10">
        <f>(Table7[[#This Row],[close]]-F386)/F386</f>
        <v>2.460647481027075E-2</v>
      </c>
    </row>
    <row r="388" spans="1:8" x14ac:dyDescent="0.3">
      <c r="A388" s="5">
        <v>45838</v>
      </c>
      <c r="B388" s="6" t="s">
        <v>32</v>
      </c>
      <c r="C388" s="6">
        <v>2260.39</v>
      </c>
      <c r="D388" s="6">
        <v>2285.12</v>
      </c>
      <c r="E388" s="6">
        <v>2235.66</v>
      </c>
      <c r="F388" s="6">
        <v>2271.71</v>
      </c>
      <c r="G388" s="6">
        <v>9636</v>
      </c>
      <c r="H388" s="10">
        <f>(Table7[[#This Row],[close]]-F387)/F387</f>
        <v>1.424680775069196E-2</v>
      </c>
    </row>
    <row r="389" spans="1:8" x14ac:dyDescent="0.3">
      <c r="A389" s="5">
        <v>45658</v>
      </c>
      <c r="B389" s="6" t="s">
        <v>35</v>
      </c>
      <c r="C389" s="6">
        <v>599.36</v>
      </c>
      <c r="D389" s="6">
        <v>604.27</v>
      </c>
      <c r="E389" s="6">
        <v>594.44000000000005</v>
      </c>
      <c r="F389" s="6">
        <v>600.52</v>
      </c>
      <c r="G389" s="6">
        <v>36262</v>
      </c>
      <c r="H389" s="10">
        <f>(Table7[[#This Row],[close]]-F388)/F388</f>
        <v>-0.73565287822829495</v>
      </c>
    </row>
    <row r="390" spans="1:8" x14ac:dyDescent="0.3">
      <c r="A390" s="5">
        <v>45659</v>
      </c>
      <c r="B390" s="6" t="s">
        <v>35</v>
      </c>
      <c r="C390" s="6">
        <v>603.07000000000005</v>
      </c>
      <c r="D390" s="6">
        <v>608.21</v>
      </c>
      <c r="E390" s="6">
        <v>597.91999999999996</v>
      </c>
      <c r="F390" s="6">
        <v>600.52</v>
      </c>
      <c r="G390" s="6">
        <v>21733</v>
      </c>
      <c r="H390" s="10">
        <f>(Table7[[#This Row],[close]]-F389)/F389</f>
        <v>0</v>
      </c>
    </row>
    <row r="391" spans="1:8" x14ac:dyDescent="0.3">
      <c r="A391" s="5">
        <v>45660</v>
      </c>
      <c r="B391" s="6" t="s">
        <v>35</v>
      </c>
      <c r="C391" s="6">
        <v>606.29</v>
      </c>
      <c r="D391" s="6">
        <v>612.14</v>
      </c>
      <c r="E391" s="6">
        <v>600.44000000000005</v>
      </c>
      <c r="F391" s="6">
        <v>604.86</v>
      </c>
      <c r="G391" s="6">
        <v>7430</v>
      </c>
      <c r="H391" s="10">
        <f>(Table7[[#This Row],[close]]-F390)/F390</f>
        <v>7.2270698727769801E-3</v>
      </c>
    </row>
    <row r="392" spans="1:8" x14ac:dyDescent="0.3">
      <c r="A392" s="5">
        <v>45663</v>
      </c>
      <c r="B392" s="6" t="s">
        <v>35</v>
      </c>
      <c r="C392" s="6">
        <v>602.34</v>
      </c>
      <c r="D392" s="6">
        <v>607.45000000000005</v>
      </c>
      <c r="E392" s="6">
        <v>597.23</v>
      </c>
      <c r="F392" s="6">
        <v>606.71</v>
      </c>
      <c r="G392" s="6">
        <v>32497</v>
      </c>
      <c r="H392" s="10">
        <f>(Table7[[#This Row],[close]]-F391)/F391</f>
        <v>3.0585590053897145E-3</v>
      </c>
    </row>
    <row r="393" spans="1:8" x14ac:dyDescent="0.3">
      <c r="A393" s="5">
        <v>45664</v>
      </c>
      <c r="B393" s="6" t="s">
        <v>35</v>
      </c>
      <c r="C393" s="6">
        <v>615.69000000000005</v>
      </c>
      <c r="D393" s="6">
        <v>619.99</v>
      </c>
      <c r="E393" s="6">
        <v>611.39</v>
      </c>
      <c r="F393" s="6">
        <v>617.37</v>
      </c>
      <c r="G393" s="6">
        <v>47332</v>
      </c>
      <c r="H393" s="10">
        <f>(Table7[[#This Row],[close]]-F392)/F392</f>
        <v>1.7570173559031444E-2</v>
      </c>
    </row>
    <row r="394" spans="1:8" x14ac:dyDescent="0.3">
      <c r="A394" s="5">
        <v>45665</v>
      </c>
      <c r="B394" s="6" t="s">
        <v>35</v>
      </c>
      <c r="C394" s="6">
        <v>620.49</v>
      </c>
      <c r="D394" s="6">
        <v>626.16</v>
      </c>
      <c r="E394" s="6">
        <v>614.82000000000005</v>
      </c>
      <c r="F394" s="6">
        <v>618.5</v>
      </c>
      <c r="G394" s="6">
        <v>38846</v>
      </c>
      <c r="H394" s="10">
        <f>(Table7[[#This Row],[close]]-F393)/F393</f>
        <v>1.8303448499279126E-3</v>
      </c>
    </row>
    <row r="395" spans="1:8" x14ac:dyDescent="0.3">
      <c r="A395" s="5">
        <v>45666</v>
      </c>
      <c r="B395" s="6" t="s">
        <v>35</v>
      </c>
      <c r="C395" s="6">
        <v>615.9</v>
      </c>
      <c r="D395" s="6">
        <v>618.25</v>
      </c>
      <c r="E395" s="6">
        <v>613.54999999999995</v>
      </c>
      <c r="F395" s="6">
        <v>615.29999999999995</v>
      </c>
      <c r="G395" s="6">
        <v>6448</v>
      </c>
      <c r="H395" s="10">
        <f>(Table7[[#This Row],[close]]-F394)/F394</f>
        <v>-5.1738075990299844E-3</v>
      </c>
    </row>
    <row r="396" spans="1:8" x14ac:dyDescent="0.3">
      <c r="A396" s="5">
        <v>45667</v>
      </c>
      <c r="B396" s="6" t="s">
        <v>35</v>
      </c>
      <c r="C396" s="6">
        <v>619.59</v>
      </c>
      <c r="D396" s="6">
        <v>626.04999999999995</v>
      </c>
      <c r="E396" s="6">
        <v>613.13</v>
      </c>
      <c r="F396" s="6">
        <v>616.4</v>
      </c>
      <c r="G396" s="6">
        <v>7406</v>
      </c>
      <c r="H396" s="10">
        <f>(Table7[[#This Row],[close]]-F395)/F395</f>
        <v>1.7877458150496065E-3</v>
      </c>
    </row>
    <row r="397" spans="1:8" x14ac:dyDescent="0.3">
      <c r="A397" s="5">
        <v>45670</v>
      </c>
      <c r="B397" s="6" t="s">
        <v>35</v>
      </c>
      <c r="C397" s="6">
        <v>624.69000000000005</v>
      </c>
      <c r="D397" s="6">
        <v>629.38</v>
      </c>
      <c r="E397" s="6">
        <v>620.01</v>
      </c>
      <c r="F397" s="6">
        <v>620.78</v>
      </c>
      <c r="G397" s="6">
        <v>33003</v>
      </c>
      <c r="H397" s="10">
        <f>(Table7[[#This Row],[close]]-F396)/F396</f>
        <v>7.1057754704737111E-3</v>
      </c>
    </row>
    <row r="398" spans="1:8" x14ac:dyDescent="0.3">
      <c r="A398" s="5">
        <v>45671</v>
      </c>
      <c r="B398" s="6" t="s">
        <v>35</v>
      </c>
      <c r="C398" s="6">
        <v>623.82000000000005</v>
      </c>
      <c r="D398" s="6">
        <v>629.17999999999995</v>
      </c>
      <c r="E398" s="6">
        <v>618.47</v>
      </c>
      <c r="F398" s="6">
        <v>621.30999999999995</v>
      </c>
      <c r="G398" s="6">
        <v>44108</v>
      </c>
      <c r="H398" s="10">
        <f>(Table7[[#This Row],[close]]-F397)/F397</f>
        <v>8.537646187054556E-4</v>
      </c>
    </row>
    <row r="399" spans="1:8" x14ac:dyDescent="0.3">
      <c r="A399" s="5">
        <v>45672</v>
      </c>
      <c r="B399" s="6" t="s">
        <v>35</v>
      </c>
      <c r="C399" s="6">
        <v>623.70000000000005</v>
      </c>
      <c r="D399" s="6">
        <v>629.42999999999995</v>
      </c>
      <c r="E399" s="6">
        <v>617.97</v>
      </c>
      <c r="F399" s="6">
        <v>621.78</v>
      </c>
      <c r="G399" s="6">
        <v>42779</v>
      </c>
      <c r="H399" s="10">
        <f>(Table7[[#This Row],[close]]-F398)/F398</f>
        <v>7.5646617630494809E-4</v>
      </c>
    </row>
    <row r="400" spans="1:8" x14ac:dyDescent="0.3">
      <c r="A400" s="5">
        <v>45673</v>
      </c>
      <c r="B400" s="6" t="s">
        <v>35</v>
      </c>
      <c r="C400" s="6">
        <v>615.26</v>
      </c>
      <c r="D400" s="6">
        <v>624.53</v>
      </c>
      <c r="E400" s="6">
        <v>605.99</v>
      </c>
      <c r="F400" s="6">
        <v>616.45000000000005</v>
      </c>
      <c r="G400" s="6">
        <v>16422</v>
      </c>
      <c r="H400" s="10">
        <f>(Table7[[#This Row],[close]]-F399)/F399</f>
        <v>-8.5721637878348085E-3</v>
      </c>
    </row>
    <row r="401" spans="1:8" x14ac:dyDescent="0.3">
      <c r="A401" s="5">
        <v>45674</v>
      </c>
      <c r="B401" s="6" t="s">
        <v>35</v>
      </c>
      <c r="C401" s="6">
        <v>613.84</v>
      </c>
      <c r="D401" s="6">
        <v>621.15</v>
      </c>
      <c r="E401" s="6">
        <v>606.52</v>
      </c>
      <c r="F401" s="6">
        <v>611.47</v>
      </c>
      <c r="G401" s="6">
        <v>34535</v>
      </c>
      <c r="H401" s="10">
        <f>(Table7[[#This Row],[close]]-F400)/F400</f>
        <v>-8.0785140725119931E-3</v>
      </c>
    </row>
    <row r="402" spans="1:8" x14ac:dyDescent="0.3">
      <c r="A402" s="5">
        <v>45677</v>
      </c>
      <c r="B402" s="6" t="s">
        <v>35</v>
      </c>
      <c r="C402" s="6">
        <v>599.86</v>
      </c>
      <c r="D402" s="6">
        <v>603.24</v>
      </c>
      <c r="E402" s="6">
        <v>596.48</v>
      </c>
      <c r="F402" s="6">
        <v>600.9</v>
      </c>
      <c r="G402" s="6">
        <v>27715</v>
      </c>
      <c r="H402" s="10">
        <f>(Table7[[#This Row],[close]]-F401)/F401</f>
        <v>-1.7286211915547859E-2</v>
      </c>
    </row>
    <row r="403" spans="1:8" x14ac:dyDescent="0.3">
      <c r="A403" s="5">
        <v>45678</v>
      </c>
      <c r="B403" s="6" t="s">
        <v>35</v>
      </c>
      <c r="C403" s="6">
        <v>616.30999999999995</v>
      </c>
      <c r="D403" s="6">
        <v>620.36</v>
      </c>
      <c r="E403" s="6">
        <v>612.27</v>
      </c>
      <c r="F403" s="6">
        <v>614.44000000000005</v>
      </c>
      <c r="G403" s="6">
        <v>39908</v>
      </c>
      <c r="H403" s="10">
        <f>(Table7[[#This Row],[close]]-F402)/F402</f>
        <v>2.253286736561837E-2</v>
      </c>
    </row>
    <row r="404" spans="1:8" x14ac:dyDescent="0.3">
      <c r="A404" s="5">
        <v>45679</v>
      </c>
      <c r="B404" s="6" t="s">
        <v>35</v>
      </c>
      <c r="C404" s="6">
        <v>609.62</v>
      </c>
      <c r="D404" s="6">
        <v>614.34</v>
      </c>
      <c r="E404" s="6">
        <v>604.9</v>
      </c>
      <c r="F404" s="6">
        <v>605.03</v>
      </c>
      <c r="G404" s="6">
        <v>5481</v>
      </c>
      <c r="H404" s="10">
        <f>(Table7[[#This Row],[close]]-F403)/F403</f>
        <v>-1.5314758153766162E-2</v>
      </c>
    </row>
    <row r="405" spans="1:8" x14ac:dyDescent="0.3">
      <c r="A405" s="5">
        <v>45680</v>
      </c>
      <c r="B405" s="6" t="s">
        <v>35</v>
      </c>
      <c r="C405" s="6">
        <v>598.21</v>
      </c>
      <c r="D405" s="6">
        <v>601.52</v>
      </c>
      <c r="E405" s="6">
        <v>594.89</v>
      </c>
      <c r="F405" s="6">
        <v>599.91</v>
      </c>
      <c r="G405" s="6">
        <v>38605</v>
      </c>
      <c r="H405" s="10">
        <f>(Table7[[#This Row],[close]]-F404)/F404</f>
        <v>-8.4623902946961392E-3</v>
      </c>
    </row>
    <row r="406" spans="1:8" x14ac:dyDescent="0.3">
      <c r="A406" s="5">
        <v>45681</v>
      </c>
      <c r="B406" s="6" t="s">
        <v>35</v>
      </c>
      <c r="C406" s="6">
        <v>591.66999999999996</v>
      </c>
      <c r="D406" s="6">
        <v>597.74</v>
      </c>
      <c r="E406" s="6">
        <v>585.61</v>
      </c>
      <c r="F406" s="6">
        <v>594.65</v>
      </c>
      <c r="G406" s="6">
        <v>41761</v>
      </c>
      <c r="H406" s="10">
        <f>(Table7[[#This Row],[close]]-F405)/F405</f>
        <v>-8.7679818639462438E-3</v>
      </c>
    </row>
    <row r="407" spans="1:8" x14ac:dyDescent="0.3">
      <c r="A407" s="5">
        <v>45684</v>
      </c>
      <c r="B407" s="6" t="s">
        <v>35</v>
      </c>
      <c r="C407" s="6">
        <v>598.95000000000005</v>
      </c>
      <c r="D407" s="6">
        <v>603.82000000000005</v>
      </c>
      <c r="E407" s="6">
        <v>594.09</v>
      </c>
      <c r="F407" s="6">
        <v>601.54</v>
      </c>
      <c r="G407" s="6">
        <v>23740</v>
      </c>
      <c r="H407" s="10">
        <f>(Table7[[#This Row],[close]]-F406)/F406</f>
        <v>1.1586647607836519E-2</v>
      </c>
    </row>
    <row r="408" spans="1:8" x14ac:dyDescent="0.3">
      <c r="A408" s="5">
        <v>45685</v>
      </c>
      <c r="B408" s="6" t="s">
        <v>35</v>
      </c>
      <c r="C408" s="6">
        <v>600.67999999999995</v>
      </c>
      <c r="D408" s="6">
        <v>609.45000000000005</v>
      </c>
      <c r="E408" s="6">
        <v>591.9</v>
      </c>
      <c r="F408" s="6">
        <v>599.45000000000005</v>
      </c>
      <c r="G408" s="6">
        <v>17052</v>
      </c>
      <c r="H408" s="10">
        <f>(Table7[[#This Row],[close]]-F407)/F407</f>
        <v>-3.4744156664559601E-3</v>
      </c>
    </row>
    <row r="409" spans="1:8" x14ac:dyDescent="0.3">
      <c r="A409" s="5">
        <v>45686</v>
      </c>
      <c r="B409" s="6" t="s">
        <v>35</v>
      </c>
      <c r="C409" s="6">
        <v>608.13</v>
      </c>
      <c r="D409" s="6">
        <v>618.85</v>
      </c>
      <c r="E409" s="6">
        <v>597.4</v>
      </c>
      <c r="F409" s="6">
        <v>609.09</v>
      </c>
      <c r="G409" s="6">
        <v>1163</v>
      </c>
      <c r="H409" s="10">
        <f>(Table7[[#This Row],[close]]-F408)/F408</f>
        <v>1.6081407957294163E-2</v>
      </c>
    </row>
    <row r="410" spans="1:8" x14ac:dyDescent="0.3">
      <c r="A410" s="5">
        <v>45687</v>
      </c>
      <c r="B410" s="6" t="s">
        <v>35</v>
      </c>
      <c r="C410" s="6">
        <v>604.72</v>
      </c>
      <c r="D410" s="6">
        <v>608.57000000000005</v>
      </c>
      <c r="E410" s="6">
        <v>600.88</v>
      </c>
      <c r="F410" s="6">
        <v>604.09</v>
      </c>
      <c r="G410" s="6">
        <v>11634</v>
      </c>
      <c r="H410" s="10">
        <f>(Table7[[#This Row],[close]]-F409)/F409</f>
        <v>-8.2089674760708591E-3</v>
      </c>
    </row>
    <row r="411" spans="1:8" x14ac:dyDescent="0.3">
      <c r="A411" s="5">
        <v>45688</v>
      </c>
      <c r="B411" s="6" t="s">
        <v>35</v>
      </c>
      <c r="C411" s="6">
        <v>603.99</v>
      </c>
      <c r="D411" s="6">
        <v>611.87</v>
      </c>
      <c r="E411" s="6">
        <v>596.12</v>
      </c>
      <c r="F411" s="6">
        <v>606.36</v>
      </c>
      <c r="G411" s="6">
        <v>30300</v>
      </c>
      <c r="H411" s="10">
        <f>(Table7[[#This Row],[close]]-F410)/F410</f>
        <v>3.7577182207948843E-3</v>
      </c>
    </row>
    <row r="412" spans="1:8" x14ac:dyDescent="0.3">
      <c r="A412" s="5">
        <v>45691</v>
      </c>
      <c r="B412" s="6" t="s">
        <v>35</v>
      </c>
      <c r="C412" s="6">
        <v>602.17999999999995</v>
      </c>
      <c r="D412" s="6">
        <v>606.01</v>
      </c>
      <c r="E412" s="6">
        <v>598.35</v>
      </c>
      <c r="F412" s="6">
        <v>600.15</v>
      </c>
      <c r="G412" s="6">
        <v>38487</v>
      </c>
      <c r="H412" s="10">
        <f>(Table7[[#This Row],[close]]-F411)/F411</f>
        <v>-1.0241440728280289E-2</v>
      </c>
    </row>
    <row r="413" spans="1:8" x14ac:dyDescent="0.3">
      <c r="A413" s="5">
        <v>45692</v>
      </c>
      <c r="B413" s="6" t="s">
        <v>35</v>
      </c>
      <c r="C413" s="6">
        <v>618.35</v>
      </c>
      <c r="D413" s="6">
        <v>625.84</v>
      </c>
      <c r="E413" s="6">
        <v>610.87</v>
      </c>
      <c r="F413" s="6">
        <v>616.74</v>
      </c>
      <c r="G413" s="6">
        <v>15056</v>
      </c>
      <c r="H413" s="10">
        <f>(Table7[[#This Row],[close]]-F412)/F412</f>
        <v>2.7643089227693131E-2</v>
      </c>
    </row>
    <row r="414" spans="1:8" x14ac:dyDescent="0.3">
      <c r="A414" s="5">
        <v>45693</v>
      </c>
      <c r="B414" s="6" t="s">
        <v>35</v>
      </c>
      <c r="C414" s="6">
        <v>606.24</v>
      </c>
      <c r="D414" s="6">
        <v>615.19000000000005</v>
      </c>
      <c r="E414" s="6">
        <v>597.28</v>
      </c>
      <c r="F414" s="6">
        <v>607.73</v>
      </c>
      <c r="G414" s="6">
        <v>44404</v>
      </c>
      <c r="H414" s="10">
        <f>(Table7[[#This Row],[close]]-F413)/F413</f>
        <v>-1.4609073515581916E-2</v>
      </c>
    </row>
    <row r="415" spans="1:8" x14ac:dyDescent="0.3">
      <c r="A415" s="5">
        <v>45694</v>
      </c>
      <c r="B415" s="6" t="s">
        <v>35</v>
      </c>
      <c r="C415" s="6">
        <v>610.44000000000005</v>
      </c>
      <c r="D415" s="6">
        <v>611.87</v>
      </c>
      <c r="E415" s="6">
        <v>609</v>
      </c>
      <c r="F415" s="6">
        <v>610.25</v>
      </c>
      <c r="G415" s="6">
        <v>4191</v>
      </c>
      <c r="H415" s="10">
        <f>(Table7[[#This Row],[close]]-F414)/F414</f>
        <v>4.1465782502097667E-3</v>
      </c>
    </row>
    <row r="416" spans="1:8" x14ac:dyDescent="0.3">
      <c r="A416" s="5">
        <v>45695</v>
      </c>
      <c r="B416" s="6" t="s">
        <v>35</v>
      </c>
      <c r="C416" s="6">
        <v>612.99</v>
      </c>
      <c r="D416" s="6">
        <v>619.16999999999996</v>
      </c>
      <c r="E416" s="6">
        <v>606.82000000000005</v>
      </c>
      <c r="F416" s="6">
        <v>615.29</v>
      </c>
      <c r="G416" s="6">
        <v>4631</v>
      </c>
      <c r="H416" s="10">
        <f>(Table7[[#This Row],[close]]-F415)/F415</f>
        <v>8.2589102826709764E-3</v>
      </c>
    </row>
    <row r="417" spans="1:8" x14ac:dyDescent="0.3">
      <c r="A417" s="5">
        <v>45698</v>
      </c>
      <c r="B417" s="6" t="s">
        <v>35</v>
      </c>
      <c r="C417" s="6">
        <v>615.02</v>
      </c>
      <c r="D417" s="6">
        <v>621.79999999999995</v>
      </c>
      <c r="E417" s="6">
        <v>608.25</v>
      </c>
      <c r="F417" s="6">
        <v>618.65</v>
      </c>
      <c r="G417" s="6">
        <v>21281</v>
      </c>
      <c r="H417" s="10">
        <f>(Table7[[#This Row],[close]]-F416)/F416</f>
        <v>5.4608396040891514E-3</v>
      </c>
    </row>
    <row r="418" spans="1:8" x14ac:dyDescent="0.3">
      <c r="A418" s="5">
        <v>45699</v>
      </c>
      <c r="B418" s="6" t="s">
        <v>35</v>
      </c>
      <c r="C418" s="6">
        <v>614.1</v>
      </c>
      <c r="D418" s="6">
        <v>620.48</v>
      </c>
      <c r="E418" s="6">
        <v>607.71</v>
      </c>
      <c r="F418" s="6">
        <v>617.36</v>
      </c>
      <c r="G418" s="6">
        <v>42674</v>
      </c>
      <c r="H418" s="10">
        <f>(Table7[[#This Row],[close]]-F417)/F417</f>
        <v>-2.0851854845226926E-3</v>
      </c>
    </row>
    <row r="419" spans="1:8" x14ac:dyDescent="0.3">
      <c r="A419" s="5">
        <v>45700</v>
      </c>
      <c r="B419" s="6" t="s">
        <v>35</v>
      </c>
      <c r="C419" s="6">
        <v>617.16999999999996</v>
      </c>
      <c r="D419" s="6">
        <v>622.6</v>
      </c>
      <c r="E419" s="6">
        <v>611.73</v>
      </c>
      <c r="F419" s="6">
        <v>616.49</v>
      </c>
      <c r="G419" s="6">
        <v>24253</v>
      </c>
      <c r="H419" s="10">
        <f>(Table7[[#This Row],[close]]-F418)/F418</f>
        <v>-1.4092263833095837E-3</v>
      </c>
    </row>
    <row r="420" spans="1:8" x14ac:dyDescent="0.3">
      <c r="A420" s="5">
        <v>45701</v>
      </c>
      <c r="B420" s="6" t="s">
        <v>35</v>
      </c>
      <c r="C420" s="6">
        <v>617.12</v>
      </c>
      <c r="D420" s="6">
        <v>624.84</v>
      </c>
      <c r="E420" s="6">
        <v>609.41</v>
      </c>
      <c r="F420" s="6">
        <v>616.98</v>
      </c>
      <c r="G420" s="6">
        <v>8099</v>
      </c>
      <c r="H420" s="10">
        <f>(Table7[[#This Row],[close]]-F419)/F419</f>
        <v>7.9482230044284426E-4</v>
      </c>
    </row>
    <row r="421" spans="1:8" x14ac:dyDescent="0.3">
      <c r="A421" s="5">
        <v>45702</v>
      </c>
      <c r="B421" s="6" t="s">
        <v>35</v>
      </c>
      <c r="C421" s="6">
        <v>613.33000000000004</v>
      </c>
      <c r="D421" s="6">
        <v>621.54</v>
      </c>
      <c r="E421" s="6">
        <v>605.11</v>
      </c>
      <c r="F421" s="6">
        <v>615.99</v>
      </c>
      <c r="G421" s="6">
        <v>48684</v>
      </c>
      <c r="H421" s="10">
        <f>(Table7[[#This Row],[close]]-F420)/F420</f>
        <v>-1.604590100165336E-3</v>
      </c>
    </row>
    <row r="422" spans="1:8" x14ac:dyDescent="0.3">
      <c r="A422" s="5">
        <v>45705</v>
      </c>
      <c r="B422" s="6" t="s">
        <v>35</v>
      </c>
      <c r="C422" s="6">
        <v>625.05999999999995</v>
      </c>
      <c r="D422" s="6">
        <v>632.86</v>
      </c>
      <c r="E422" s="6">
        <v>617.27</v>
      </c>
      <c r="F422" s="6">
        <v>623.66</v>
      </c>
      <c r="G422" s="6">
        <v>27724</v>
      </c>
      <c r="H422" s="10">
        <f>(Table7[[#This Row],[close]]-F421)/F421</f>
        <v>1.2451500836052466E-2</v>
      </c>
    </row>
    <row r="423" spans="1:8" x14ac:dyDescent="0.3">
      <c r="A423" s="5">
        <v>45706</v>
      </c>
      <c r="B423" s="6" t="s">
        <v>35</v>
      </c>
      <c r="C423" s="6">
        <v>641.49</v>
      </c>
      <c r="D423" s="6">
        <v>642.04</v>
      </c>
      <c r="E423" s="6">
        <v>640.94000000000005</v>
      </c>
      <c r="F423" s="6">
        <v>641.42999999999995</v>
      </c>
      <c r="G423" s="6">
        <v>29758</v>
      </c>
      <c r="H423" s="10">
        <f>(Table7[[#This Row],[close]]-F422)/F422</f>
        <v>2.849308918320877E-2</v>
      </c>
    </row>
    <row r="424" spans="1:8" x14ac:dyDescent="0.3">
      <c r="A424" s="5">
        <v>45707</v>
      </c>
      <c r="B424" s="6" t="s">
        <v>35</v>
      </c>
      <c r="C424" s="6">
        <v>641.19000000000005</v>
      </c>
      <c r="D424" s="6">
        <v>646.22</v>
      </c>
      <c r="E424" s="6">
        <v>636.16999999999996</v>
      </c>
      <c r="F424" s="6">
        <v>637.09</v>
      </c>
      <c r="G424" s="6">
        <v>25034</v>
      </c>
      <c r="H424" s="10">
        <f>(Table7[[#This Row],[close]]-F423)/F423</f>
        <v>-6.7661319239822248E-3</v>
      </c>
    </row>
    <row r="425" spans="1:8" x14ac:dyDescent="0.3">
      <c r="A425" s="5">
        <v>45708</v>
      </c>
      <c r="B425" s="6" t="s">
        <v>35</v>
      </c>
      <c r="C425" s="6">
        <v>620.41999999999996</v>
      </c>
      <c r="D425" s="6">
        <v>626.49</v>
      </c>
      <c r="E425" s="6">
        <v>614.36</v>
      </c>
      <c r="F425" s="6">
        <v>626.34</v>
      </c>
      <c r="G425" s="6">
        <v>23804</v>
      </c>
      <c r="H425" s="10">
        <f>(Table7[[#This Row],[close]]-F424)/F424</f>
        <v>-1.6873597136982214E-2</v>
      </c>
    </row>
    <row r="426" spans="1:8" x14ac:dyDescent="0.3">
      <c r="A426" s="5">
        <v>45709</v>
      </c>
      <c r="B426" s="6" t="s">
        <v>35</v>
      </c>
      <c r="C426" s="6">
        <v>625.32000000000005</v>
      </c>
      <c r="D426" s="6">
        <v>630.64</v>
      </c>
      <c r="E426" s="6">
        <v>620.01</v>
      </c>
      <c r="F426" s="6">
        <v>625.79</v>
      </c>
      <c r="G426" s="6">
        <v>49355</v>
      </c>
      <c r="H426" s="10">
        <f>(Table7[[#This Row],[close]]-F425)/F425</f>
        <v>-8.7811731647358972E-4</v>
      </c>
    </row>
    <row r="427" spans="1:8" x14ac:dyDescent="0.3">
      <c r="A427" s="5">
        <v>45712</v>
      </c>
      <c r="B427" s="6" t="s">
        <v>35</v>
      </c>
      <c r="C427" s="6">
        <v>643.87</v>
      </c>
      <c r="D427" s="6">
        <v>651.14</v>
      </c>
      <c r="E427" s="6">
        <v>636.6</v>
      </c>
      <c r="F427" s="6">
        <v>646.62</v>
      </c>
      <c r="G427" s="6">
        <v>39278</v>
      </c>
      <c r="H427" s="10">
        <f>(Table7[[#This Row],[close]]-F426)/F426</f>
        <v>3.3285926588791835E-2</v>
      </c>
    </row>
    <row r="428" spans="1:8" x14ac:dyDescent="0.3">
      <c r="A428" s="5">
        <v>45713</v>
      </c>
      <c r="B428" s="6" t="s">
        <v>35</v>
      </c>
      <c r="C428" s="6">
        <v>643</v>
      </c>
      <c r="D428" s="6">
        <v>650.29</v>
      </c>
      <c r="E428" s="6">
        <v>635.71</v>
      </c>
      <c r="F428" s="6">
        <v>640.25</v>
      </c>
      <c r="G428" s="6">
        <v>28065</v>
      </c>
      <c r="H428" s="10">
        <f>(Table7[[#This Row],[close]]-F427)/F427</f>
        <v>-9.8512263771612461E-3</v>
      </c>
    </row>
    <row r="429" spans="1:8" x14ac:dyDescent="0.3">
      <c r="A429" s="5">
        <v>45714</v>
      </c>
      <c r="B429" s="6" t="s">
        <v>35</v>
      </c>
      <c r="C429" s="6">
        <v>650.1</v>
      </c>
      <c r="D429" s="6">
        <v>655.05999999999995</v>
      </c>
      <c r="E429" s="6">
        <v>645.14</v>
      </c>
      <c r="F429" s="6">
        <v>653.77</v>
      </c>
      <c r="G429" s="6">
        <v>11759</v>
      </c>
      <c r="H429" s="10">
        <f>(Table7[[#This Row],[close]]-F428)/F428</f>
        <v>2.1116751269035505E-2</v>
      </c>
    </row>
    <row r="430" spans="1:8" x14ac:dyDescent="0.3">
      <c r="A430" s="5">
        <v>45715</v>
      </c>
      <c r="B430" s="6" t="s">
        <v>35</v>
      </c>
      <c r="C430" s="6">
        <v>669.53</v>
      </c>
      <c r="D430" s="6">
        <v>671.44</v>
      </c>
      <c r="E430" s="6">
        <v>667.61</v>
      </c>
      <c r="F430" s="6">
        <v>667.89</v>
      </c>
      <c r="G430" s="6">
        <v>14279</v>
      </c>
      <c r="H430" s="10">
        <f>(Table7[[#This Row],[close]]-F429)/F429</f>
        <v>2.1597809627238944E-2</v>
      </c>
    </row>
    <row r="431" spans="1:8" x14ac:dyDescent="0.3">
      <c r="A431" s="5">
        <v>45716</v>
      </c>
      <c r="B431" s="6" t="s">
        <v>35</v>
      </c>
      <c r="C431" s="6">
        <v>660.86</v>
      </c>
      <c r="D431" s="6">
        <v>670.24</v>
      </c>
      <c r="E431" s="6">
        <v>651.48</v>
      </c>
      <c r="F431" s="6">
        <v>663.41</v>
      </c>
      <c r="G431" s="6">
        <v>36144</v>
      </c>
      <c r="H431" s="10">
        <f>(Table7[[#This Row],[close]]-F430)/F430</f>
        <v>-6.7076913863061555E-3</v>
      </c>
    </row>
    <row r="432" spans="1:8" x14ac:dyDescent="0.3">
      <c r="A432" s="5">
        <v>45719</v>
      </c>
      <c r="B432" s="6" t="s">
        <v>35</v>
      </c>
      <c r="C432" s="6">
        <v>669.52</v>
      </c>
      <c r="D432" s="6">
        <v>673.45</v>
      </c>
      <c r="E432" s="6">
        <v>665.59</v>
      </c>
      <c r="F432" s="6">
        <v>668.34</v>
      </c>
      <c r="G432" s="6">
        <v>12824</v>
      </c>
      <c r="H432" s="10">
        <f>(Table7[[#This Row],[close]]-F431)/F431</f>
        <v>7.4313019098296131E-3</v>
      </c>
    </row>
    <row r="433" spans="1:8" x14ac:dyDescent="0.3">
      <c r="A433" s="5">
        <v>45720</v>
      </c>
      <c r="B433" s="6" t="s">
        <v>35</v>
      </c>
      <c r="C433" s="6">
        <v>682.32</v>
      </c>
      <c r="D433" s="6">
        <v>685.84</v>
      </c>
      <c r="E433" s="6">
        <v>678.8</v>
      </c>
      <c r="F433" s="6">
        <v>682.36</v>
      </c>
      <c r="G433" s="6">
        <v>43600</v>
      </c>
      <c r="H433" s="10">
        <f>(Table7[[#This Row],[close]]-F432)/F432</f>
        <v>2.097734685938292E-2</v>
      </c>
    </row>
    <row r="434" spans="1:8" x14ac:dyDescent="0.3">
      <c r="A434" s="5">
        <v>45721</v>
      </c>
      <c r="B434" s="6" t="s">
        <v>35</v>
      </c>
      <c r="C434" s="6">
        <v>680.04</v>
      </c>
      <c r="D434" s="6">
        <v>688.02</v>
      </c>
      <c r="E434" s="6">
        <v>672.06</v>
      </c>
      <c r="F434" s="6">
        <v>679.27</v>
      </c>
      <c r="G434" s="6">
        <v>21669</v>
      </c>
      <c r="H434" s="10">
        <f>(Table7[[#This Row],[close]]-F433)/F433</f>
        <v>-4.5284014303300776E-3</v>
      </c>
    </row>
    <row r="435" spans="1:8" x14ac:dyDescent="0.3">
      <c r="A435" s="5">
        <v>45722</v>
      </c>
      <c r="B435" s="6" t="s">
        <v>35</v>
      </c>
      <c r="C435" s="6">
        <v>681.58</v>
      </c>
      <c r="D435" s="6">
        <v>689.83</v>
      </c>
      <c r="E435" s="6">
        <v>673.32</v>
      </c>
      <c r="F435" s="6">
        <v>677.69</v>
      </c>
      <c r="G435" s="6">
        <v>21131</v>
      </c>
      <c r="H435" s="10">
        <f>(Table7[[#This Row],[close]]-F434)/F434</f>
        <v>-2.3260264695922493E-3</v>
      </c>
    </row>
    <row r="436" spans="1:8" x14ac:dyDescent="0.3">
      <c r="A436" s="5">
        <v>45723</v>
      </c>
      <c r="B436" s="6" t="s">
        <v>35</v>
      </c>
      <c r="C436" s="6">
        <v>668.28</v>
      </c>
      <c r="D436" s="6">
        <v>676.84</v>
      </c>
      <c r="E436" s="6">
        <v>659.71</v>
      </c>
      <c r="F436" s="6">
        <v>672.9</v>
      </c>
      <c r="G436" s="6">
        <v>34548</v>
      </c>
      <c r="H436" s="10">
        <f>(Table7[[#This Row],[close]]-F435)/F435</f>
        <v>-7.068128495329837E-3</v>
      </c>
    </row>
    <row r="437" spans="1:8" x14ac:dyDescent="0.3">
      <c r="A437" s="5">
        <v>45726</v>
      </c>
      <c r="B437" s="6" t="s">
        <v>35</v>
      </c>
      <c r="C437" s="6">
        <v>663.41</v>
      </c>
      <c r="D437" s="6">
        <v>672.25</v>
      </c>
      <c r="E437" s="6">
        <v>654.57000000000005</v>
      </c>
      <c r="F437" s="6">
        <v>664.51</v>
      </c>
      <c r="G437" s="6">
        <v>10503</v>
      </c>
      <c r="H437" s="10">
        <f>(Table7[[#This Row],[close]]-F436)/F436</f>
        <v>-1.2468420270471075E-2</v>
      </c>
    </row>
    <row r="438" spans="1:8" x14ac:dyDescent="0.3">
      <c r="A438" s="5">
        <v>45727</v>
      </c>
      <c r="B438" s="6" t="s">
        <v>35</v>
      </c>
      <c r="C438" s="6">
        <v>662.29</v>
      </c>
      <c r="D438" s="6">
        <v>667.38</v>
      </c>
      <c r="E438" s="6">
        <v>657.19</v>
      </c>
      <c r="F438" s="6">
        <v>659.25</v>
      </c>
      <c r="G438" s="6">
        <v>17905</v>
      </c>
      <c r="H438" s="10">
        <f>(Table7[[#This Row],[close]]-F437)/F437</f>
        <v>-7.9156069886081332E-3</v>
      </c>
    </row>
    <row r="439" spans="1:8" x14ac:dyDescent="0.3">
      <c r="A439" s="5">
        <v>45728</v>
      </c>
      <c r="B439" s="6" t="s">
        <v>35</v>
      </c>
      <c r="C439" s="6">
        <v>645.49</v>
      </c>
      <c r="D439" s="6">
        <v>653.71</v>
      </c>
      <c r="E439" s="6">
        <v>637.27</v>
      </c>
      <c r="F439" s="6">
        <v>649.32000000000005</v>
      </c>
      <c r="G439" s="6">
        <v>27806</v>
      </c>
      <c r="H439" s="10">
        <f>(Table7[[#This Row],[close]]-F438)/F438</f>
        <v>-1.506257110352666E-2</v>
      </c>
    </row>
    <row r="440" spans="1:8" x14ac:dyDescent="0.3">
      <c r="A440" s="5">
        <v>45729</v>
      </c>
      <c r="B440" s="6" t="s">
        <v>35</v>
      </c>
      <c r="C440" s="6">
        <v>647.92999999999995</v>
      </c>
      <c r="D440" s="6">
        <v>650.99</v>
      </c>
      <c r="E440" s="6">
        <v>644.87</v>
      </c>
      <c r="F440" s="6">
        <v>649.76</v>
      </c>
      <c r="G440" s="6">
        <v>40896</v>
      </c>
      <c r="H440" s="10">
        <f>(Table7[[#This Row],[close]]-F439)/F439</f>
        <v>6.7763198422956454E-4</v>
      </c>
    </row>
    <row r="441" spans="1:8" x14ac:dyDescent="0.3">
      <c r="A441" s="5">
        <v>45730</v>
      </c>
      <c r="B441" s="6" t="s">
        <v>35</v>
      </c>
      <c r="C441" s="6">
        <v>642.92999999999995</v>
      </c>
      <c r="D441" s="6">
        <v>645.74</v>
      </c>
      <c r="E441" s="6">
        <v>640.11</v>
      </c>
      <c r="F441" s="6">
        <v>643.64</v>
      </c>
      <c r="G441" s="6">
        <v>15291</v>
      </c>
      <c r="H441" s="10">
        <f>(Table7[[#This Row],[close]]-F440)/F440</f>
        <v>-9.4188623491750865E-3</v>
      </c>
    </row>
    <row r="442" spans="1:8" x14ac:dyDescent="0.3">
      <c r="A442" s="5">
        <v>45733</v>
      </c>
      <c r="B442" s="6" t="s">
        <v>35</v>
      </c>
      <c r="C442" s="6">
        <v>645.20000000000005</v>
      </c>
      <c r="D442" s="6">
        <v>647.26</v>
      </c>
      <c r="E442" s="6">
        <v>643.14</v>
      </c>
      <c r="F442" s="6">
        <v>645.69000000000005</v>
      </c>
      <c r="G442" s="6">
        <v>34453</v>
      </c>
      <c r="H442" s="10">
        <f>(Table7[[#This Row],[close]]-F441)/F441</f>
        <v>3.1850102541794612E-3</v>
      </c>
    </row>
    <row r="443" spans="1:8" x14ac:dyDescent="0.3">
      <c r="A443" s="5">
        <v>45734</v>
      </c>
      <c r="B443" s="6" t="s">
        <v>35</v>
      </c>
      <c r="C443" s="6">
        <v>627.1</v>
      </c>
      <c r="D443" s="6">
        <v>633.47</v>
      </c>
      <c r="E443" s="6">
        <v>620.74</v>
      </c>
      <c r="F443" s="6">
        <v>633.30999999999995</v>
      </c>
      <c r="G443" s="6">
        <v>31841</v>
      </c>
      <c r="H443" s="10">
        <f>(Table7[[#This Row],[close]]-F442)/F442</f>
        <v>-1.9173287490901372E-2</v>
      </c>
    </row>
    <row r="444" spans="1:8" x14ac:dyDescent="0.3">
      <c r="A444" s="5">
        <v>45735</v>
      </c>
      <c r="B444" s="6" t="s">
        <v>35</v>
      </c>
      <c r="C444" s="6">
        <v>635.80999999999995</v>
      </c>
      <c r="D444" s="6">
        <v>646.48</v>
      </c>
      <c r="E444" s="6">
        <v>625.14</v>
      </c>
      <c r="F444" s="6">
        <v>636.1</v>
      </c>
      <c r="G444" s="6">
        <v>11736</v>
      </c>
      <c r="H444" s="10">
        <f>(Table7[[#This Row],[close]]-F443)/F443</f>
        <v>4.4054254630434978E-3</v>
      </c>
    </row>
    <row r="445" spans="1:8" x14ac:dyDescent="0.3">
      <c r="A445" s="5">
        <v>45736</v>
      </c>
      <c r="B445" s="6" t="s">
        <v>35</v>
      </c>
      <c r="C445" s="6">
        <v>641.13</v>
      </c>
      <c r="D445" s="6">
        <v>646.29</v>
      </c>
      <c r="E445" s="6">
        <v>635.97</v>
      </c>
      <c r="F445" s="6">
        <v>642.97</v>
      </c>
      <c r="G445" s="6">
        <v>35964</v>
      </c>
      <c r="H445" s="10">
        <f>(Table7[[#This Row],[close]]-F444)/F444</f>
        <v>1.0800188649583405E-2</v>
      </c>
    </row>
    <row r="446" spans="1:8" x14ac:dyDescent="0.3">
      <c r="A446" s="5">
        <v>45737</v>
      </c>
      <c r="B446" s="6" t="s">
        <v>35</v>
      </c>
      <c r="C446" s="6">
        <v>629.02</v>
      </c>
      <c r="D446" s="6">
        <v>636.64</v>
      </c>
      <c r="E446" s="6">
        <v>621.39</v>
      </c>
      <c r="F446" s="6">
        <v>627.16999999999996</v>
      </c>
      <c r="G446" s="6">
        <v>15215</v>
      </c>
      <c r="H446" s="10">
        <f>(Table7[[#This Row],[close]]-F445)/F445</f>
        <v>-2.4573463769693871E-2</v>
      </c>
    </row>
    <row r="447" spans="1:8" x14ac:dyDescent="0.3">
      <c r="A447" s="5">
        <v>45740</v>
      </c>
      <c r="B447" s="6" t="s">
        <v>35</v>
      </c>
      <c r="C447" s="6">
        <v>631.48</v>
      </c>
      <c r="D447" s="6">
        <v>639.71</v>
      </c>
      <c r="E447" s="6">
        <v>623.25</v>
      </c>
      <c r="F447" s="6">
        <v>630.28</v>
      </c>
      <c r="G447" s="6">
        <v>30334</v>
      </c>
      <c r="H447" s="10">
        <f>(Table7[[#This Row],[close]]-F446)/F446</f>
        <v>4.958783105059256E-3</v>
      </c>
    </row>
    <row r="448" spans="1:8" x14ac:dyDescent="0.3">
      <c r="A448" s="5">
        <v>45741</v>
      </c>
      <c r="B448" s="6" t="s">
        <v>35</v>
      </c>
      <c r="C448" s="6">
        <v>643.32000000000005</v>
      </c>
      <c r="D448" s="6">
        <v>648.66</v>
      </c>
      <c r="E448" s="6">
        <v>637.99</v>
      </c>
      <c r="F448" s="6">
        <v>640.26</v>
      </c>
      <c r="G448" s="6">
        <v>21714</v>
      </c>
      <c r="H448" s="10">
        <f>(Table7[[#This Row],[close]]-F447)/F447</f>
        <v>1.5834232404645585E-2</v>
      </c>
    </row>
    <row r="449" spans="1:8" x14ac:dyDescent="0.3">
      <c r="A449" s="5">
        <v>45742</v>
      </c>
      <c r="B449" s="6" t="s">
        <v>35</v>
      </c>
      <c r="C449" s="6">
        <v>629.02</v>
      </c>
      <c r="D449" s="6">
        <v>634.12</v>
      </c>
      <c r="E449" s="6">
        <v>623.91999999999996</v>
      </c>
      <c r="F449" s="6">
        <v>630.73</v>
      </c>
      <c r="G449" s="6">
        <v>49908</v>
      </c>
      <c r="H449" s="10">
        <f>(Table7[[#This Row],[close]]-F448)/F448</f>
        <v>-1.4884578140130529E-2</v>
      </c>
    </row>
    <row r="450" spans="1:8" x14ac:dyDescent="0.3">
      <c r="A450" s="5">
        <v>45743</v>
      </c>
      <c r="B450" s="6" t="s">
        <v>35</v>
      </c>
      <c r="C450" s="6">
        <v>644.52</v>
      </c>
      <c r="D450" s="6">
        <v>646.44000000000005</v>
      </c>
      <c r="E450" s="6">
        <v>642.61</v>
      </c>
      <c r="F450" s="6">
        <v>644.30999999999995</v>
      </c>
      <c r="G450" s="6">
        <v>25858</v>
      </c>
      <c r="H450" s="10">
        <f>(Table7[[#This Row],[close]]-F449)/F449</f>
        <v>2.1530607391435204E-2</v>
      </c>
    </row>
    <row r="451" spans="1:8" x14ac:dyDescent="0.3">
      <c r="A451" s="5">
        <v>45744</v>
      </c>
      <c r="B451" s="6" t="s">
        <v>35</v>
      </c>
      <c r="C451" s="6">
        <v>650.97</v>
      </c>
      <c r="D451" s="6">
        <v>660.38</v>
      </c>
      <c r="E451" s="6">
        <v>641.54999999999995</v>
      </c>
      <c r="F451" s="6">
        <v>647.88</v>
      </c>
      <c r="G451" s="6">
        <v>47486</v>
      </c>
      <c r="H451" s="10">
        <f>(Table7[[#This Row],[close]]-F450)/F450</f>
        <v>5.5408111002468539E-3</v>
      </c>
    </row>
    <row r="452" spans="1:8" x14ac:dyDescent="0.3">
      <c r="A452" s="5">
        <v>45747</v>
      </c>
      <c r="B452" s="6" t="s">
        <v>35</v>
      </c>
      <c r="C452" s="6">
        <v>642.99</v>
      </c>
      <c r="D452" s="6">
        <v>653.1</v>
      </c>
      <c r="E452" s="6">
        <v>632.89</v>
      </c>
      <c r="F452" s="6">
        <v>642.29999999999995</v>
      </c>
      <c r="G452" s="6">
        <v>4754</v>
      </c>
      <c r="H452" s="10">
        <f>(Table7[[#This Row],[close]]-F451)/F451</f>
        <v>-8.6127060566772249E-3</v>
      </c>
    </row>
    <row r="453" spans="1:8" x14ac:dyDescent="0.3">
      <c r="A453" s="5">
        <v>45748</v>
      </c>
      <c r="B453" s="6" t="s">
        <v>35</v>
      </c>
      <c r="C453" s="6">
        <v>642.1</v>
      </c>
      <c r="D453" s="6">
        <v>651.74</v>
      </c>
      <c r="E453" s="6">
        <v>632.46</v>
      </c>
      <c r="F453" s="6">
        <v>642</v>
      </c>
      <c r="G453" s="6">
        <v>9706</v>
      </c>
      <c r="H453" s="10">
        <f>(Table7[[#This Row],[close]]-F452)/F452</f>
        <v>-4.6707146193360508E-4</v>
      </c>
    </row>
    <row r="454" spans="1:8" x14ac:dyDescent="0.3">
      <c r="A454" s="5">
        <v>45749</v>
      </c>
      <c r="B454" s="6" t="s">
        <v>35</v>
      </c>
      <c r="C454" s="6">
        <v>644.96</v>
      </c>
      <c r="D454" s="6">
        <v>650.54</v>
      </c>
      <c r="E454" s="6">
        <v>639.38</v>
      </c>
      <c r="F454" s="6">
        <v>646.69000000000005</v>
      </c>
      <c r="G454" s="6">
        <v>30725</v>
      </c>
      <c r="H454" s="10">
        <f>(Table7[[#This Row],[close]]-F453)/F453</f>
        <v>7.3052959501558479E-3</v>
      </c>
    </row>
    <row r="455" spans="1:8" x14ac:dyDescent="0.3">
      <c r="A455" s="5">
        <v>45750</v>
      </c>
      <c r="B455" s="6" t="s">
        <v>35</v>
      </c>
      <c r="C455" s="6">
        <v>649</v>
      </c>
      <c r="D455" s="6">
        <v>658.77</v>
      </c>
      <c r="E455" s="6">
        <v>639.22</v>
      </c>
      <c r="F455" s="6">
        <v>647.46</v>
      </c>
      <c r="G455" s="6">
        <v>37068</v>
      </c>
      <c r="H455" s="10">
        <f>(Table7[[#This Row],[close]]-F454)/F454</f>
        <v>1.1906786868514771E-3</v>
      </c>
    </row>
    <row r="456" spans="1:8" x14ac:dyDescent="0.3">
      <c r="A456" s="5">
        <v>45751</v>
      </c>
      <c r="B456" s="6" t="s">
        <v>35</v>
      </c>
      <c r="C456" s="6">
        <v>650.05999999999995</v>
      </c>
      <c r="D456" s="6">
        <v>654.11</v>
      </c>
      <c r="E456" s="6">
        <v>646.01</v>
      </c>
      <c r="F456" s="6">
        <v>652.03</v>
      </c>
      <c r="G456" s="6">
        <v>37495</v>
      </c>
      <c r="H456" s="10">
        <f>(Table7[[#This Row],[close]]-F455)/F455</f>
        <v>7.0583510950482436E-3</v>
      </c>
    </row>
    <row r="457" spans="1:8" x14ac:dyDescent="0.3">
      <c r="A457" s="5">
        <v>45754</v>
      </c>
      <c r="B457" s="6" t="s">
        <v>35</v>
      </c>
      <c r="C457" s="6">
        <v>645.11</v>
      </c>
      <c r="D457" s="6">
        <v>655.13</v>
      </c>
      <c r="E457" s="6">
        <v>635.1</v>
      </c>
      <c r="F457" s="6">
        <v>644.66</v>
      </c>
      <c r="G457" s="6">
        <v>17832</v>
      </c>
      <c r="H457" s="10">
        <f>(Table7[[#This Row],[close]]-F456)/F456</f>
        <v>-1.1303160897504723E-2</v>
      </c>
    </row>
    <row r="458" spans="1:8" x14ac:dyDescent="0.3">
      <c r="A458" s="5">
        <v>45755</v>
      </c>
      <c r="B458" s="6" t="s">
        <v>35</v>
      </c>
      <c r="C458" s="6">
        <v>646.73</v>
      </c>
      <c r="D458" s="6">
        <v>649.78</v>
      </c>
      <c r="E458" s="6">
        <v>643.67999999999995</v>
      </c>
      <c r="F458" s="6">
        <v>646.19000000000005</v>
      </c>
      <c r="G458" s="6">
        <v>43815</v>
      </c>
      <c r="H458" s="10">
        <f>(Table7[[#This Row],[close]]-F457)/F457</f>
        <v>2.3733440883567871E-3</v>
      </c>
    </row>
    <row r="459" spans="1:8" x14ac:dyDescent="0.3">
      <c r="A459" s="5">
        <v>45756</v>
      </c>
      <c r="B459" s="6" t="s">
        <v>35</v>
      </c>
      <c r="C459" s="6">
        <v>638.72</v>
      </c>
      <c r="D459" s="6">
        <v>645.09</v>
      </c>
      <c r="E459" s="6">
        <v>632.34</v>
      </c>
      <c r="F459" s="6">
        <v>634.92999999999995</v>
      </c>
      <c r="G459" s="6">
        <v>4081</v>
      </c>
      <c r="H459" s="10">
        <f>(Table7[[#This Row],[close]]-F458)/F458</f>
        <v>-1.7425215493895144E-2</v>
      </c>
    </row>
    <row r="460" spans="1:8" x14ac:dyDescent="0.3">
      <c r="A460" s="5">
        <v>45757</v>
      </c>
      <c r="B460" s="6" t="s">
        <v>35</v>
      </c>
      <c r="C460" s="6">
        <v>633.74</v>
      </c>
      <c r="D460" s="6">
        <v>643.61</v>
      </c>
      <c r="E460" s="6">
        <v>623.86</v>
      </c>
      <c r="F460" s="6">
        <v>634.20000000000005</v>
      </c>
      <c r="G460" s="6">
        <v>15042</v>
      </c>
      <c r="H460" s="10">
        <f>(Table7[[#This Row],[close]]-F459)/F459</f>
        <v>-1.1497330414374884E-3</v>
      </c>
    </row>
    <row r="461" spans="1:8" x14ac:dyDescent="0.3">
      <c r="A461" s="5">
        <v>45758</v>
      </c>
      <c r="B461" s="6" t="s">
        <v>35</v>
      </c>
      <c r="C461" s="6">
        <v>626.12</v>
      </c>
      <c r="D461" s="6">
        <v>629.52</v>
      </c>
      <c r="E461" s="6">
        <v>622.71</v>
      </c>
      <c r="F461" s="6">
        <v>627.16</v>
      </c>
      <c r="G461" s="6">
        <v>38900</v>
      </c>
      <c r="H461" s="10">
        <f>(Table7[[#This Row],[close]]-F460)/F460</f>
        <v>-1.11005991800695E-2</v>
      </c>
    </row>
    <row r="462" spans="1:8" x14ac:dyDescent="0.3">
      <c r="A462" s="5">
        <v>45761</v>
      </c>
      <c r="B462" s="6" t="s">
        <v>35</v>
      </c>
      <c r="C462" s="6">
        <v>621.62</v>
      </c>
      <c r="D462" s="6">
        <v>628.22</v>
      </c>
      <c r="E462" s="6">
        <v>615.01</v>
      </c>
      <c r="F462" s="6">
        <v>621.53</v>
      </c>
      <c r="G462" s="6">
        <v>44241</v>
      </c>
      <c r="H462" s="10">
        <f>(Table7[[#This Row],[close]]-F461)/F461</f>
        <v>-8.9769755724217037E-3</v>
      </c>
    </row>
    <row r="463" spans="1:8" x14ac:dyDescent="0.3">
      <c r="A463" s="5">
        <v>45762</v>
      </c>
      <c r="B463" s="6" t="s">
        <v>35</v>
      </c>
      <c r="C463" s="6">
        <v>636.02</v>
      </c>
      <c r="D463" s="6">
        <v>641.04</v>
      </c>
      <c r="E463" s="6">
        <v>630.99</v>
      </c>
      <c r="F463" s="6">
        <v>631.42999999999995</v>
      </c>
      <c r="G463" s="6">
        <v>27832</v>
      </c>
      <c r="H463" s="10">
        <f>(Table7[[#This Row],[close]]-F462)/F462</f>
        <v>1.5928434669283828E-2</v>
      </c>
    </row>
    <row r="464" spans="1:8" x14ac:dyDescent="0.3">
      <c r="A464" s="5">
        <v>45763</v>
      </c>
      <c r="B464" s="6" t="s">
        <v>35</v>
      </c>
      <c r="C464" s="6">
        <v>635.6</v>
      </c>
      <c r="D464" s="6">
        <v>640.47</v>
      </c>
      <c r="E464" s="6">
        <v>630.73</v>
      </c>
      <c r="F464" s="6">
        <v>640.33000000000004</v>
      </c>
      <c r="G464" s="6">
        <v>41372</v>
      </c>
      <c r="H464" s="10">
        <f>(Table7[[#This Row],[close]]-F463)/F463</f>
        <v>1.4094990735315224E-2</v>
      </c>
    </row>
    <row r="465" spans="1:8" x14ac:dyDescent="0.3">
      <c r="A465" s="5">
        <v>45764</v>
      </c>
      <c r="B465" s="6" t="s">
        <v>35</v>
      </c>
      <c r="C465" s="6">
        <v>645.67999999999995</v>
      </c>
      <c r="D465" s="6">
        <v>650.16</v>
      </c>
      <c r="E465" s="6">
        <v>641.19000000000005</v>
      </c>
      <c r="F465" s="6">
        <v>645.41</v>
      </c>
      <c r="G465" s="6">
        <v>35546</v>
      </c>
      <c r="H465" s="10">
        <f>(Table7[[#This Row],[close]]-F464)/F464</f>
        <v>7.9334093358111087E-3</v>
      </c>
    </row>
    <row r="466" spans="1:8" x14ac:dyDescent="0.3">
      <c r="A466" s="5">
        <v>45765</v>
      </c>
      <c r="B466" s="6" t="s">
        <v>35</v>
      </c>
      <c r="C466" s="6">
        <v>639.11</v>
      </c>
      <c r="D466" s="6">
        <v>647.47</v>
      </c>
      <c r="E466" s="6">
        <v>630.75</v>
      </c>
      <c r="F466" s="6">
        <v>636.74</v>
      </c>
      <c r="G466" s="6">
        <v>24762</v>
      </c>
      <c r="H466" s="10">
        <f>(Table7[[#This Row],[close]]-F465)/F465</f>
        <v>-1.3433321454579197E-2</v>
      </c>
    </row>
    <row r="467" spans="1:8" x14ac:dyDescent="0.3">
      <c r="A467" s="5">
        <v>45768</v>
      </c>
      <c r="B467" s="6" t="s">
        <v>35</v>
      </c>
      <c r="C467" s="6">
        <v>638.35</v>
      </c>
      <c r="D467" s="6">
        <v>647</v>
      </c>
      <c r="E467" s="6">
        <v>629.69000000000005</v>
      </c>
      <c r="F467" s="6">
        <v>634.36</v>
      </c>
      <c r="G467" s="6">
        <v>10596</v>
      </c>
      <c r="H467" s="10">
        <f>(Table7[[#This Row],[close]]-F466)/F466</f>
        <v>-3.737789364575801E-3</v>
      </c>
    </row>
    <row r="468" spans="1:8" x14ac:dyDescent="0.3">
      <c r="A468" s="5">
        <v>45769</v>
      </c>
      <c r="B468" s="6" t="s">
        <v>35</v>
      </c>
      <c r="C468" s="6">
        <v>643.4</v>
      </c>
      <c r="D468" s="6">
        <v>652.58000000000004</v>
      </c>
      <c r="E468" s="6">
        <v>634.23</v>
      </c>
      <c r="F468" s="6">
        <v>644.29</v>
      </c>
      <c r="G468" s="6">
        <v>2013</v>
      </c>
      <c r="H468" s="10">
        <f>(Table7[[#This Row],[close]]-F467)/F467</f>
        <v>1.5653572104167901E-2</v>
      </c>
    </row>
    <row r="469" spans="1:8" x14ac:dyDescent="0.3">
      <c r="A469" s="5">
        <v>45770</v>
      </c>
      <c r="B469" s="6" t="s">
        <v>35</v>
      </c>
      <c r="C469" s="6">
        <v>646.89</v>
      </c>
      <c r="D469" s="6">
        <v>653.25</v>
      </c>
      <c r="E469" s="6">
        <v>640.53</v>
      </c>
      <c r="F469" s="6">
        <v>645.59</v>
      </c>
      <c r="G469" s="6">
        <v>39356</v>
      </c>
      <c r="H469" s="10">
        <f>(Table7[[#This Row],[close]]-F468)/F468</f>
        <v>2.0177249375282376E-3</v>
      </c>
    </row>
    <row r="470" spans="1:8" x14ac:dyDescent="0.3">
      <c r="A470" s="5">
        <v>45771</v>
      </c>
      <c r="B470" s="6" t="s">
        <v>35</v>
      </c>
      <c r="C470" s="6">
        <v>663.72</v>
      </c>
      <c r="D470" s="6">
        <v>664.92</v>
      </c>
      <c r="E470" s="6">
        <v>662.52</v>
      </c>
      <c r="F470" s="6">
        <v>664.89</v>
      </c>
      <c r="G470" s="6">
        <v>15537</v>
      </c>
      <c r="H470" s="10">
        <f>(Table7[[#This Row],[close]]-F469)/F469</f>
        <v>2.9895134683003071E-2</v>
      </c>
    </row>
    <row r="471" spans="1:8" x14ac:dyDescent="0.3">
      <c r="A471" s="5">
        <v>45772</v>
      </c>
      <c r="B471" s="6" t="s">
        <v>35</v>
      </c>
      <c r="C471" s="6">
        <v>670.12</v>
      </c>
      <c r="D471" s="6">
        <v>676.64</v>
      </c>
      <c r="E471" s="6">
        <v>663.6</v>
      </c>
      <c r="F471" s="6">
        <v>668.35</v>
      </c>
      <c r="G471" s="6">
        <v>34848</v>
      </c>
      <c r="H471" s="10">
        <f>(Table7[[#This Row],[close]]-F470)/F470</f>
        <v>5.2038683090436556E-3</v>
      </c>
    </row>
    <row r="472" spans="1:8" x14ac:dyDescent="0.3">
      <c r="A472" s="5">
        <v>45775</v>
      </c>
      <c r="B472" s="6" t="s">
        <v>35</v>
      </c>
      <c r="C472" s="6">
        <v>670.03</v>
      </c>
      <c r="D472" s="6">
        <v>675.33</v>
      </c>
      <c r="E472" s="6">
        <v>664.74</v>
      </c>
      <c r="F472" s="6">
        <v>670.13</v>
      </c>
      <c r="G472" s="6">
        <v>44590</v>
      </c>
      <c r="H472" s="10">
        <f>(Table7[[#This Row],[close]]-F471)/F471</f>
        <v>2.6632752300440976E-3</v>
      </c>
    </row>
    <row r="473" spans="1:8" x14ac:dyDescent="0.3">
      <c r="A473" s="5">
        <v>45776</v>
      </c>
      <c r="B473" s="6" t="s">
        <v>35</v>
      </c>
      <c r="C473" s="6">
        <v>666.61</v>
      </c>
      <c r="D473" s="6">
        <v>674.11</v>
      </c>
      <c r="E473" s="6">
        <v>659.11</v>
      </c>
      <c r="F473" s="6">
        <v>667.69</v>
      </c>
      <c r="G473" s="6">
        <v>17087</v>
      </c>
      <c r="H473" s="10">
        <f>(Table7[[#This Row],[close]]-F472)/F472</f>
        <v>-3.6410845656811974E-3</v>
      </c>
    </row>
    <row r="474" spans="1:8" x14ac:dyDescent="0.3">
      <c r="A474" s="5">
        <v>45777</v>
      </c>
      <c r="B474" s="6" t="s">
        <v>35</v>
      </c>
      <c r="C474" s="6">
        <v>668.16</v>
      </c>
      <c r="D474" s="6">
        <v>670.36</v>
      </c>
      <c r="E474" s="6">
        <v>665.95</v>
      </c>
      <c r="F474" s="6">
        <v>668.97</v>
      </c>
      <c r="G474" s="6">
        <v>7643</v>
      </c>
      <c r="H474" s="10">
        <f>(Table7[[#This Row],[close]]-F473)/F473</f>
        <v>1.9170573170183359E-3</v>
      </c>
    </row>
    <row r="475" spans="1:8" x14ac:dyDescent="0.3">
      <c r="A475" s="5">
        <v>45778</v>
      </c>
      <c r="B475" s="6" t="s">
        <v>35</v>
      </c>
      <c r="C475" s="6">
        <v>667.56</v>
      </c>
      <c r="D475" s="6">
        <v>675.33</v>
      </c>
      <c r="E475" s="6">
        <v>659.78</v>
      </c>
      <c r="F475" s="6">
        <v>667.85</v>
      </c>
      <c r="G475" s="6">
        <v>1161</v>
      </c>
      <c r="H475" s="10">
        <f>(Table7[[#This Row],[close]]-F474)/F474</f>
        <v>-1.6742155851533021E-3</v>
      </c>
    </row>
    <row r="476" spans="1:8" x14ac:dyDescent="0.3">
      <c r="A476" s="5">
        <v>45779</v>
      </c>
      <c r="B476" s="6" t="s">
        <v>35</v>
      </c>
      <c r="C476" s="6">
        <v>673.97</v>
      </c>
      <c r="D476" s="6">
        <v>682.07</v>
      </c>
      <c r="E476" s="6">
        <v>665.87</v>
      </c>
      <c r="F476" s="6">
        <v>673.99</v>
      </c>
      <c r="G476" s="6">
        <v>29731</v>
      </c>
      <c r="H476" s="10">
        <f>(Table7[[#This Row],[close]]-F475)/F475</f>
        <v>9.1936812158418604E-3</v>
      </c>
    </row>
    <row r="477" spans="1:8" x14ac:dyDescent="0.3">
      <c r="A477" s="5">
        <v>45782</v>
      </c>
      <c r="B477" s="6" t="s">
        <v>35</v>
      </c>
      <c r="C477" s="6">
        <v>680.18</v>
      </c>
      <c r="D477" s="6">
        <v>686.72</v>
      </c>
      <c r="E477" s="6">
        <v>673.64</v>
      </c>
      <c r="F477" s="6">
        <v>682.33</v>
      </c>
      <c r="G477" s="6">
        <v>13693</v>
      </c>
      <c r="H477" s="10">
        <f>(Table7[[#This Row],[close]]-F476)/F476</f>
        <v>1.2374070831911499E-2</v>
      </c>
    </row>
    <row r="478" spans="1:8" x14ac:dyDescent="0.3">
      <c r="A478" s="5">
        <v>45783</v>
      </c>
      <c r="B478" s="6" t="s">
        <v>35</v>
      </c>
      <c r="C478" s="6">
        <v>675.42</v>
      </c>
      <c r="D478" s="6">
        <v>685.16</v>
      </c>
      <c r="E478" s="6">
        <v>665.68</v>
      </c>
      <c r="F478" s="6">
        <v>675.76</v>
      </c>
      <c r="G478" s="6">
        <v>22817</v>
      </c>
      <c r="H478" s="10">
        <f>(Table7[[#This Row],[close]]-F477)/F477</f>
        <v>-9.6287720018173751E-3</v>
      </c>
    </row>
    <row r="479" spans="1:8" x14ac:dyDescent="0.3">
      <c r="A479" s="5">
        <v>45784</v>
      </c>
      <c r="B479" s="6" t="s">
        <v>35</v>
      </c>
      <c r="C479" s="6">
        <v>664.14</v>
      </c>
      <c r="D479" s="6">
        <v>674.09</v>
      </c>
      <c r="E479" s="6">
        <v>654.20000000000005</v>
      </c>
      <c r="F479" s="6">
        <v>664.68</v>
      </c>
      <c r="G479" s="6">
        <v>49831</v>
      </c>
      <c r="H479" s="10">
        <f>(Table7[[#This Row],[close]]-F478)/F478</f>
        <v>-1.6396353735053926E-2</v>
      </c>
    </row>
    <row r="480" spans="1:8" x14ac:dyDescent="0.3">
      <c r="A480" s="5">
        <v>45785</v>
      </c>
      <c r="B480" s="6" t="s">
        <v>35</v>
      </c>
      <c r="C480" s="6">
        <v>650.59</v>
      </c>
      <c r="D480" s="6">
        <v>656.4</v>
      </c>
      <c r="E480" s="6">
        <v>644.78</v>
      </c>
      <c r="F480" s="6">
        <v>649.64</v>
      </c>
      <c r="G480" s="6">
        <v>6469</v>
      </c>
      <c r="H480" s="10">
        <f>(Table7[[#This Row],[close]]-F479)/F479</f>
        <v>-2.2627429740627016E-2</v>
      </c>
    </row>
    <row r="481" spans="1:8" x14ac:dyDescent="0.3">
      <c r="A481" s="5">
        <v>45786</v>
      </c>
      <c r="B481" s="6" t="s">
        <v>35</v>
      </c>
      <c r="C481" s="6">
        <v>653.27</v>
      </c>
      <c r="D481" s="6">
        <v>658.26</v>
      </c>
      <c r="E481" s="6">
        <v>648.29</v>
      </c>
      <c r="F481" s="6">
        <v>653.96</v>
      </c>
      <c r="G481" s="6">
        <v>34937</v>
      </c>
      <c r="H481" s="10">
        <f>(Table7[[#This Row],[close]]-F480)/F480</f>
        <v>6.6498368327074231E-3</v>
      </c>
    </row>
    <row r="482" spans="1:8" x14ac:dyDescent="0.3">
      <c r="A482" s="5">
        <v>45789</v>
      </c>
      <c r="B482" s="6" t="s">
        <v>35</v>
      </c>
      <c r="C482" s="6">
        <v>647.08000000000004</v>
      </c>
      <c r="D482" s="6">
        <v>649.88</v>
      </c>
      <c r="E482" s="6">
        <v>644.28</v>
      </c>
      <c r="F482" s="6">
        <v>645.09</v>
      </c>
      <c r="G482" s="6">
        <v>26051</v>
      </c>
      <c r="H482" s="10">
        <f>(Table7[[#This Row],[close]]-F481)/F481</f>
        <v>-1.3563520704630259E-2</v>
      </c>
    </row>
    <row r="483" spans="1:8" x14ac:dyDescent="0.3">
      <c r="A483" s="5">
        <v>45790</v>
      </c>
      <c r="B483" s="6" t="s">
        <v>35</v>
      </c>
      <c r="C483" s="6">
        <v>626.33000000000004</v>
      </c>
      <c r="D483" s="6">
        <v>637.22</v>
      </c>
      <c r="E483" s="6">
        <v>615.44000000000005</v>
      </c>
      <c r="F483" s="6">
        <v>627.98</v>
      </c>
      <c r="G483" s="6">
        <v>34787</v>
      </c>
      <c r="H483" s="10">
        <f>(Table7[[#This Row],[close]]-F482)/F482</f>
        <v>-2.6523430839107742E-2</v>
      </c>
    </row>
    <row r="484" spans="1:8" x14ac:dyDescent="0.3">
      <c r="A484" s="5">
        <v>45791</v>
      </c>
      <c r="B484" s="6" t="s">
        <v>35</v>
      </c>
      <c r="C484" s="6">
        <v>632</v>
      </c>
      <c r="D484" s="6">
        <v>634.99</v>
      </c>
      <c r="E484" s="6">
        <v>629.02</v>
      </c>
      <c r="F484" s="6">
        <v>631.21</v>
      </c>
      <c r="G484" s="6">
        <v>46253</v>
      </c>
      <c r="H484" s="10">
        <f>(Table7[[#This Row],[close]]-F483)/F483</f>
        <v>5.1434759068760437E-3</v>
      </c>
    </row>
    <row r="485" spans="1:8" x14ac:dyDescent="0.3">
      <c r="A485" s="5">
        <v>45792</v>
      </c>
      <c r="B485" s="6" t="s">
        <v>35</v>
      </c>
      <c r="C485" s="6">
        <v>650.53</v>
      </c>
      <c r="D485" s="6">
        <v>659.79</v>
      </c>
      <c r="E485" s="6">
        <v>641.27</v>
      </c>
      <c r="F485" s="6">
        <v>651.5</v>
      </c>
      <c r="G485" s="6">
        <v>19394</v>
      </c>
      <c r="H485" s="10">
        <f>(Table7[[#This Row],[close]]-F484)/F484</f>
        <v>3.2144611143676373E-2</v>
      </c>
    </row>
    <row r="486" spans="1:8" x14ac:dyDescent="0.3">
      <c r="A486" s="5">
        <v>45793</v>
      </c>
      <c r="B486" s="6" t="s">
        <v>35</v>
      </c>
      <c r="C486" s="6">
        <v>649.62</v>
      </c>
      <c r="D486" s="6">
        <v>660.55</v>
      </c>
      <c r="E486" s="6">
        <v>638.69000000000005</v>
      </c>
      <c r="F486" s="6">
        <v>651.61</v>
      </c>
      <c r="G486" s="6">
        <v>49998</v>
      </c>
      <c r="H486" s="10">
        <f>(Table7[[#This Row],[close]]-F485)/F485</f>
        <v>1.6884113584038932E-4</v>
      </c>
    </row>
    <row r="487" spans="1:8" x14ac:dyDescent="0.3">
      <c r="A487" s="5">
        <v>45796</v>
      </c>
      <c r="B487" s="6" t="s">
        <v>35</v>
      </c>
      <c r="C487" s="6">
        <v>658.58</v>
      </c>
      <c r="D487" s="6">
        <v>666.22</v>
      </c>
      <c r="E487" s="6">
        <v>650.94000000000005</v>
      </c>
      <c r="F487" s="6">
        <v>658.69</v>
      </c>
      <c r="G487" s="6">
        <v>31268</v>
      </c>
      <c r="H487" s="10">
        <f>(Table7[[#This Row],[close]]-F486)/F486</f>
        <v>1.0865394944829024E-2</v>
      </c>
    </row>
    <row r="488" spans="1:8" x14ac:dyDescent="0.3">
      <c r="A488" s="5">
        <v>45797</v>
      </c>
      <c r="B488" s="6" t="s">
        <v>35</v>
      </c>
      <c r="C488" s="6">
        <v>664.89</v>
      </c>
      <c r="D488" s="6">
        <v>672.44</v>
      </c>
      <c r="E488" s="6">
        <v>657.34</v>
      </c>
      <c r="F488" s="6">
        <v>659.52</v>
      </c>
      <c r="G488" s="6">
        <v>47698</v>
      </c>
      <c r="H488" s="10">
        <f>(Table7[[#This Row],[close]]-F487)/F487</f>
        <v>1.2600768191409117E-3</v>
      </c>
    </row>
    <row r="489" spans="1:8" x14ac:dyDescent="0.3">
      <c r="A489" s="5">
        <v>45798</v>
      </c>
      <c r="B489" s="6" t="s">
        <v>35</v>
      </c>
      <c r="C489" s="6">
        <v>653.54</v>
      </c>
      <c r="D489" s="6">
        <v>659.18</v>
      </c>
      <c r="E489" s="6">
        <v>647.9</v>
      </c>
      <c r="F489" s="6">
        <v>658.86</v>
      </c>
      <c r="G489" s="6">
        <v>36525</v>
      </c>
      <c r="H489" s="10">
        <f>(Table7[[#This Row],[close]]-F488)/F488</f>
        <v>-1.0007278020377974E-3</v>
      </c>
    </row>
    <row r="490" spans="1:8" x14ac:dyDescent="0.3">
      <c r="A490" s="5">
        <v>45799</v>
      </c>
      <c r="B490" s="6" t="s">
        <v>35</v>
      </c>
      <c r="C490" s="6">
        <v>668.15</v>
      </c>
      <c r="D490" s="6">
        <v>673.6</v>
      </c>
      <c r="E490" s="6">
        <v>662.71</v>
      </c>
      <c r="F490" s="6">
        <v>666.69</v>
      </c>
      <c r="G490" s="6">
        <v>24284</v>
      </c>
      <c r="H490" s="10">
        <f>(Table7[[#This Row],[close]]-F489)/F489</f>
        <v>1.1884163555231825E-2</v>
      </c>
    </row>
    <row r="491" spans="1:8" x14ac:dyDescent="0.3">
      <c r="A491" s="5">
        <v>45800</v>
      </c>
      <c r="B491" s="6" t="s">
        <v>35</v>
      </c>
      <c r="C491" s="6">
        <v>659.12</v>
      </c>
      <c r="D491" s="6">
        <v>665.16</v>
      </c>
      <c r="E491" s="6">
        <v>653.08000000000004</v>
      </c>
      <c r="F491" s="6">
        <v>664.41</v>
      </c>
      <c r="G491" s="6">
        <v>6017</v>
      </c>
      <c r="H491" s="10">
        <f>(Table7[[#This Row],[close]]-F490)/F490</f>
        <v>-3.4198803041894828E-3</v>
      </c>
    </row>
    <row r="492" spans="1:8" x14ac:dyDescent="0.3">
      <c r="A492" s="5">
        <v>45803</v>
      </c>
      <c r="B492" s="6" t="s">
        <v>35</v>
      </c>
      <c r="C492" s="6">
        <v>667.02</v>
      </c>
      <c r="D492" s="6">
        <v>678.45</v>
      </c>
      <c r="E492" s="6">
        <v>655.59</v>
      </c>
      <c r="F492" s="6">
        <v>666.82</v>
      </c>
      <c r="G492" s="6">
        <v>23436</v>
      </c>
      <c r="H492" s="10">
        <f>(Table7[[#This Row],[close]]-F491)/F491</f>
        <v>3.6272783371714482E-3</v>
      </c>
    </row>
    <row r="493" spans="1:8" x14ac:dyDescent="0.3">
      <c r="A493" s="5">
        <v>45804</v>
      </c>
      <c r="B493" s="6" t="s">
        <v>35</v>
      </c>
      <c r="C493" s="6">
        <v>669.99</v>
      </c>
      <c r="D493" s="6">
        <v>676.12</v>
      </c>
      <c r="E493" s="6">
        <v>663.85</v>
      </c>
      <c r="F493" s="6">
        <v>669.68</v>
      </c>
      <c r="G493" s="6">
        <v>26279</v>
      </c>
      <c r="H493" s="10">
        <f>(Table7[[#This Row],[close]]-F492)/F492</f>
        <v>4.289013526888665E-3</v>
      </c>
    </row>
    <row r="494" spans="1:8" x14ac:dyDescent="0.3">
      <c r="A494" s="5">
        <v>45805</v>
      </c>
      <c r="B494" s="6" t="s">
        <v>35</v>
      </c>
      <c r="C494" s="6">
        <v>666.55</v>
      </c>
      <c r="D494" s="6">
        <v>670.64</v>
      </c>
      <c r="E494" s="6">
        <v>662.45</v>
      </c>
      <c r="F494" s="6">
        <v>664.23</v>
      </c>
      <c r="G494" s="6">
        <v>20715</v>
      </c>
      <c r="H494" s="10">
        <f>(Table7[[#This Row],[close]]-F493)/F493</f>
        <v>-8.1382152669930898E-3</v>
      </c>
    </row>
    <row r="495" spans="1:8" x14ac:dyDescent="0.3">
      <c r="A495" s="5">
        <v>45806</v>
      </c>
      <c r="B495" s="6" t="s">
        <v>35</v>
      </c>
      <c r="C495" s="6">
        <v>667</v>
      </c>
      <c r="D495" s="6">
        <v>673.41</v>
      </c>
      <c r="E495" s="6">
        <v>660.58</v>
      </c>
      <c r="F495" s="6">
        <v>672.74</v>
      </c>
      <c r="G495" s="6">
        <v>30312</v>
      </c>
      <c r="H495" s="10">
        <f>(Table7[[#This Row],[close]]-F494)/F494</f>
        <v>1.2811827228520227E-2</v>
      </c>
    </row>
    <row r="496" spans="1:8" x14ac:dyDescent="0.3">
      <c r="A496" s="5">
        <v>45807</v>
      </c>
      <c r="B496" s="6" t="s">
        <v>35</v>
      </c>
      <c r="C496" s="6">
        <v>676.61</v>
      </c>
      <c r="D496" s="6">
        <v>681.9</v>
      </c>
      <c r="E496" s="6">
        <v>671.33</v>
      </c>
      <c r="F496" s="6">
        <v>671.42</v>
      </c>
      <c r="G496" s="6">
        <v>14493</v>
      </c>
      <c r="H496" s="10">
        <f>(Table7[[#This Row],[close]]-F495)/F495</f>
        <v>-1.9621250408776792E-3</v>
      </c>
    </row>
    <row r="497" spans="1:8" x14ac:dyDescent="0.3">
      <c r="A497" s="5">
        <v>45810</v>
      </c>
      <c r="B497" s="6" t="s">
        <v>35</v>
      </c>
      <c r="C497" s="6">
        <v>665.84</v>
      </c>
      <c r="D497" s="6">
        <v>668.21</v>
      </c>
      <c r="E497" s="6">
        <v>663.47</v>
      </c>
      <c r="F497" s="6">
        <v>665.22</v>
      </c>
      <c r="G497" s="6">
        <v>8736</v>
      </c>
      <c r="H497" s="10">
        <f>(Table7[[#This Row],[close]]-F496)/F496</f>
        <v>-9.2341604360905733E-3</v>
      </c>
    </row>
    <row r="498" spans="1:8" x14ac:dyDescent="0.3">
      <c r="A498" s="5">
        <v>45811</v>
      </c>
      <c r="B498" s="6" t="s">
        <v>35</v>
      </c>
      <c r="C498" s="6">
        <v>670.52</v>
      </c>
      <c r="D498" s="6">
        <v>679.95</v>
      </c>
      <c r="E498" s="6">
        <v>661.09</v>
      </c>
      <c r="F498" s="6">
        <v>669.89</v>
      </c>
      <c r="G498" s="6">
        <v>46603</v>
      </c>
      <c r="H498" s="10">
        <f>(Table7[[#This Row],[close]]-F497)/F497</f>
        <v>7.0202339075793856E-3</v>
      </c>
    </row>
    <row r="499" spans="1:8" x14ac:dyDescent="0.3">
      <c r="A499" s="5">
        <v>45812</v>
      </c>
      <c r="B499" s="6" t="s">
        <v>35</v>
      </c>
      <c r="C499" s="6">
        <v>660.72</v>
      </c>
      <c r="D499" s="6">
        <v>662.68</v>
      </c>
      <c r="E499" s="6">
        <v>658.76</v>
      </c>
      <c r="F499" s="6">
        <v>662.51</v>
      </c>
      <c r="G499" s="6">
        <v>38481</v>
      </c>
      <c r="H499" s="10">
        <f>(Table7[[#This Row],[close]]-F498)/F498</f>
        <v>-1.1016734090671595E-2</v>
      </c>
    </row>
    <row r="500" spans="1:8" x14ac:dyDescent="0.3">
      <c r="A500" s="5">
        <v>45813</v>
      </c>
      <c r="B500" s="6" t="s">
        <v>35</v>
      </c>
      <c r="C500" s="6">
        <v>663.03</v>
      </c>
      <c r="D500" s="6">
        <v>666.64</v>
      </c>
      <c r="E500" s="6">
        <v>659.43</v>
      </c>
      <c r="F500" s="6">
        <v>662.9</v>
      </c>
      <c r="G500" s="6">
        <v>1162</v>
      </c>
      <c r="H500" s="10">
        <f>(Table7[[#This Row],[close]]-F499)/F499</f>
        <v>5.8867035969266325E-4</v>
      </c>
    </row>
    <row r="501" spans="1:8" x14ac:dyDescent="0.3">
      <c r="A501" s="5">
        <v>45814</v>
      </c>
      <c r="B501" s="6" t="s">
        <v>35</v>
      </c>
      <c r="C501" s="6">
        <v>659.59</v>
      </c>
      <c r="D501" s="6">
        <v>666.63</v>
      </c>
      <c r="E501" s="6">
        <v>652.54</v>
      </c>
      <c r="F501" s="6">
        <v>662.98</v>
      </c>
      <c r="G501" s="6">
        <v>33591</v>
      </c>
      <c r="H501" s="10">
        <f>(Table7[[#This Row],[close]]-F500)/F500</f>
        <v>1.2068185246649711E-4</v>
      </c>
    </row>
    <row r="502" spans="1:8" x14ac:dyDescent="0.3">
      <c r="A502" s="5">
        <v>45817</v>
      </c>
      <c r="B502" s="6" t="s">
        <v>35</v>
      </c>
      <c r="C502" s="6">
        <v>671.88</v>
      </c>
      <c r="D502" s="6">
        <v>677.26</v>
      </c>
      <c r="E502" s="6">
        <v>666.51</v>
      </c>
      <c r="F502" s="6">
        <v>672.27</v>
      </c>
      <c r="G502" s="6">
        <v>8896</v>
      </c>
      <c r="H502" s="10">
        <f>(Table7[[#This Row],[close]]-F501)/F501</f>
        <v>1.4012489064526778E-2</v>
      </c>
    </row>
    <row r="503" spans="1:8" x14ac:dyDescent="0.3">
      <c r="A503" s="5">
        <v>45818</v>
      </c>
      <c r="B503" s="6" t="s">
        <v>35</v>
      </c>
      <c r="C503" s="6">
        <v>681.28</v>
      </c>
      <c r="D503" s="6">
        <v>686.97</v>
      </c>
      <c r="E503" s="6">
        <v>675.58</v>
      </c>
      <c r="F503" s="6">
        <v>676.47</v>
      </c>
      <c r="G503" s="6">
        <v>31508</v>
      </c>
      <c r="H503" s="10">
        <f>(Table7[[#This Row],[close]]-F502)/F502</f>
        <v>6.2474898478290649E-3</v>
      </c>
    </row>
    <row r="504" spans="1:8" x14ac:dyDescent="0.3">
      <c r="A504" s="5">
        <v>45819</v>
      </c>
      <c r="B504" s="6" t="s">
        <v>35</v>
      </c>
      <c r="C504" s="6">
        <v>681.87</v>
      </c>
      <c r="D504" s="6">
        <v>687.95</v>
      </c>
      <c r="E504" s="6">
        <v>675.78</v>
      </c>
      <c r="F504" s="6">
        <v>676.41</v>
      </c>
      <c r="G504" s="6">
        <v>41785</v>
      </c>
      <c r="H504" s="10">
        <f>(Table7[[#This Row],[close]]-F503)/F503</f>
        <v>-8.8695729300721556E-5</v>
      </c>
    </row>
    <row r="505" spans="1:8" x14ac:dyDescent="0.3">
      <c r="A505" s="5">
        <v>45820</v>
      </c>
      <c r="B505" s="6" t="s">
        <v>35</v>
      </c>
      <c r="C505" s="6">
        <v>688.83</v>
      </c>
      <c r="D505" s="6">
        <v>695.97</v>
      </c>
      <c r="E505" s="6">
        <v>681.68</v>
      </c>
      <c r="F505" s="6">
        <v>683.58</v>
      </c>
      <c r="G505" s="6">
        <v>48299</v>
      </c>
      <c r="H505" s="10">
        <f>(Table7[[#This Row],[close]]-F504)/F504</f>
        <v>1.0600079833237346E-2</v>
      </c>
    </row>
    <row r="506" spans="1:8" x14ac:dyDescent="0.3">
      <c r="A506" s="5">
        <v>45821</v>
      </c>
      <c r="B506" s="6" t="s">
        <v>35</v>
      </c>
      <c r="C506" s="6">
        <v>692.65</v>
      </c>
      <c r="D506" s="6">
        <v>700.21</v>
      </c>
      <c r="E506" s="6">
        <v>685.08</v>
      </c>
      <c r="F506" s="6">
        <v>695.83</v>
      </c>
      <c r="G506" s="6">
        <v>32358</v>
      </c>
      <c r="H506" s="10">
        <f>(Table7[[#This Row],[close]]-F505)/F505</f>
        <v>1.7920360455250299E-2</v>
      </c>
    </row>
    <row r="507" spans="1:8" x14ac:dyDescent="0.3">
      <c r="A507" s="5">
        <v>45824</v>
      </c>
      <c r="B507" s="6" t="s">
        <v>35</v>
      </c>
      <c r="C507" s="6">
        <v>697.43</v>
      </c>
      <c r="D507" s="6">
        <v>704.22</v>
      </c>
      <c r="E507" s="6">
        <v>690.63</v>
      </c>
      <c r="F507" s="6">
        <v>700.9</v>
      </c>
      <c r="G507" s="6">
        <v>49330</v>
      </c>
      <c r="H507" s="10">
        <f>(Table7[[#This Row],[close]]-F506)/F506</f>
        <v>7.2862624491613409E-3</v>
      </c>
    </row>
    <row r="508" spans="1:8" x14ac:dyDescent="0.3">
      <c r="A508" s="5">
        <v>45825</v>
      </c>
      <c r="B508" s="6" t="s">
        <v>35</v>
      </c>
      <c r="C508" s="6">
        <v>703.99</v>
      </c>
      <c r="D508" s="6">
        <v>714.67</v>
      </c>
      <c r="E508" s="6">
        <v>693.3</v>
      </c>
      <c r="F508" s="6">
        <v>701.16</v>
      </c>
      <c r="G508" s="6">
        <v>40110</v>
      </c>
      <c r="H508" s="10">
        <f>(Table7[[#This Row],[close]]-F507)/F507</f>
        <v>3.70951633613912E-4</v>
      </c>
    </row>
    <row r="509" spans="1:8" x14ac:dyDescent="0.3">
      <c r="A509" s="5">
        <v>45826</v>
      </c>
      <c r="B509" s="6" t="s">
        <v>35</v>
      </c>
      <c r="C509" s="6">
        <v>686.83</v>
      </c>
      <c r="D509" s="6">
        <v>695.26</v>
      </c>
      <c r="E509" s="6">
        <v>678.41</v>
      </c>
      <c r="F509" s="6">
        <v>689.83</v>
      </c>
      <c r="G509" s="6">
        <v>37727</v>
      </c>
      <c r="H509" s="10">
        <f>(Table7[[#This Row],[close]]-F508)/F508</f>
        <v>-1.6158936619316458E-2</v>
      </c>
    </row>
    <row r="510" spans="1:8" x14ac:dyDescent="0.3">
      <c r="A510" s="5">
        <v>45827</v>
      </c>
      <c r="B510" s="6" t="s">
        <v>35</v>
      </c>
      <c r="C510" s="6">
        <v>677.59</v>
      </c>
      <c r="D510" s="6">
        <v>684.34</v>
      </c>
      <c r="E510" s="6">
        <v>670.85</v>
      </c>
      <c r="F510" s="6">
        <v>680.8</v>
      </c>
      <c r="G510" s="6">
        <v>19745</v>
      </c>
      <c r="H510" s="10">
        <f>(Table7[[#This Row],[close]]-F509)/F509</f>
        <v>-1.3090181638954649E-2</v>
      </c>
    </row>
    <row r="511" spans="1:8" x14ac:dyDescent="0.3">
      <c r="A511" s="5">
        <v>45828</v>
      </c>
      <c r="B511" s="6" t="s">
        <v>35</v>
      </c>
      <c r="C511" s="6">
        <v>684.01</v>
      </c>
      <c r="D511" s="6">
        <v>691.63</v>
      </c>
      <c r="E511" s="6">
        <v>676.38</v>
      </c>
      <c r="F511" s="6">
        <v>678.34</v>
      </c>
      <c r="G511" s="6">
        <v>35521</v>
      </c>
      <c r="H511" s="10">
        <f>(Table7[[#This Row],[close]]-F510)/F510</f>
        <v>-3.6133960047002394E-3</v>
      </c>
    </row>
    <row r="512" spans="1:8" x14ac:dyDescent="0.3">
      <c r="A512" s="5">
        <v>45831</v>
      </c>
      <c r="B512" s="6" t="s">
        <v>35</v>
      </c>
      <c r="C512" s="6">
        <v>672.33</v>
      </c>
      <c r="D512" s="6">
        <v>675.89</v>
      </c>
      <c r="E512" s="6">
        <v>668.76</v>
      </c>
      <c r="F512" s="6">
        <v>673.32</v>
      </c>
      <c r="G512" s="6">
        <v>23360</v>
      </c>
      <c r="H512" s="10">
        <f>(Table7[[#This Row],[close]]-F511)/F511</f>
        <v>-7.4004186691039621E-3</v>
      </c>
    </row>
    <row r="513" spans="1:8" x14ac:dyDescent="0.3">
      <c r="A513" s="5">
        <v>45832</v>
      </c>
      <c r="B513" s="6" t="s">
        <v>35</v>
      </c>
      <c r="C513" s="6">
        <v>671.76</v>
      </c>
      <c r="D513" s="6">
        <v>684.62</v>
      </c>
      <c r="E513" s="6">
        <v>658.89</v>
      </c>
      <c r="F513" s="6">
        <v>671.89</v>
      </c>
      <c r="G513" s="6">
        <v>7588</v>
      </c>
      <c r="H513" s="10">
        <f>(Table7[[#This Row],[close]]-F512)/F512</f>
        <v>-2.1238044317710204E-3</v>
      </c>
    </row>
    <row r="514" spans="1:8" x14ac:dyDescent="0.3">
      <c r="A514" s="5">
        <v>45833</v>
      </c>
      <c r="B514" s="6" t="s">
        <v>35</v>
      </c>
      <c r="C514" s="6">
        <v>672.28</v>
      </c>
      <c r="D514" s="6">
        <v>674.07</v>
      </c>
      <c r="E514" s="6">
        <v>670.5</v>
      </c>
      <c r="F514" s="6">
        <v>672.53</v>
      </c>
      <c r="G514" s="6">
        <v>25259</v>
      </c>
      <c r="H514" s="10">
        <f>(Table7[[#This Row],[close]]-F513)/F513</f>
        <v>9.5253687359535993E-4</v>
      </c>
    </row>
    <row r="515" spans="1:8" x14ac:dyDescent="0.3">
      <c r="A515" s="5">
        <v>45834</v>
      </c>
      <c r="B515" s="6" t="s">
        <v>35</v>
      </c>
      <c r="C515" s="6">
        <v>679.42</v>
      </c>
      <c r="D515" s="6">
        <v>682.86</v>
      </c>
      <c r="E515" s="6">
        <v>675.99</v>
      </c>
      <c r="F515" s="6">
        <v>677.2</v>
      </c>
      <c r="G515" s="6">
        <v>34365</v>
      </c>
      <c r="H515" s="10">
        <f>(Table7[[#This Row],[close]]-F514)/F514</f>
        <v>6.9439281519041128E-3</v>
      </c>
    </row>
    <row r="516" spans="1:8" x14ac:dyDescent="0.3">
      <c r="A516" s="5">
        <v>45835</v>
      </c>
      <c r="B516" s="6" t="s">
        <v>35</v>
      </c>
      <c r="C516" s="6">
        <v>677.01</v>
      </c>
      <c r="D516" s="6">
        <v>684.35</v>
      </c>
      <c r="E516" s="6">
        <v>669.67</v>
      </c>
      <c r="F516" s="6">
        <v>676.76</v>
      </c>
      <c r="G516" s="6">
        <v>33316</v>
      </c>
      <c r="H516" s="10">
        <f>(Table7[[#This Row],[close]]-F515)/F515</f>
        <v>-6.497341996456801E-4</v>
      </c>
    </row>
    <row r="517" spans="1:8" x14ac:dyDescent="0.3">
      <c r="A517" s="5">
        <v>45838</v>
      </c>
      <c r="B517" s="6" t="s">
        <v>35</v>
      </c>
      <c r="C517" s="6">
        <v>679.88</v>
      </c>
      <c r="D517" s="6">
        <v>684.18</v>
      </c>
      <c r="E517" s="6">
        <v>675.58</v>
      </c>
      <c r="F517" s="6">
        <v>681.08</v>
      </c>
      <c r="G517" s="6">
        <v>19474</v>
      </c>
      <c r="H517" s="10">
        <f>(Table7[[#This Row],[close]]-F516)/F516</f>
        <v>6.3833559903068299E-3</v>
      </c>
    </row>
    <row r="518" spans="1:8" x14ac:dyDescent="0.3">
      <c r="A518" s="5">
        <v>45658</v>
      </c>
      <c r="B518" s="6" t="s">
        <v>37</v>
      </c>
      <c r="C518" s="6">
        <v>228.35</v>
      </c>
      <c r="D518" s="6">
        <v>231.47</v>
      </c>
      <c r="E518" s="6">
        <v>225.23</v>
      </c>
      <c r="F518" s="6">
        <v>229.72</v>
      </c>
      <c r="G518" s="6">
        <v>13109</v>
      </c>
      <c r="H518" s="10">
        <f>(Table7[[#This Row],[close]]-F517)/F517</f>
        <v>-0.66271216303517944</v>
      </c>
    </row>
    <row r="519" spans="1:8" x14ac:dyDescent="0.3">
      <c r="A519" s="5">
        <v>45659</v>
      </c>
      <c r="B519" s="6" t="s">
        <v>37</v>
      </c>
      <c r="C519" s="6">
        <v>236.16</v>
      </c>
      <c r="D519" s="6">
        <v>237.33</v>
      </c>
      <c r="E519" s="6">
        <v>234.99</v>
      </c>
      <c r="F519" s="6">
        <v>235.08</v>
      </c>
      <c r="G519" s="6">
        <v>24383</v>
      </c>
      <c r="H519" s="10">
        <f>(Table7[[#This Row],[close]]-F518)/F518</f>
        <v>2.3332752916594174E-2</v>
      </c>
    </row>
    <row r="520" spans="1:8" x14ac:dyDescent="0.3">
      <c r="A520" s="5">
        <v>45660</v>
      </c>
      <c r="B520" s="6" t="s">
        <v>37</v>
      </c>
      <c r="C520" s="6">
        <v>232.68</v>
      </c>
      <c r="D520" s="6">
        <v>235.02</v>
      </c>
      <c r="E520" s="6">
        <v>230.35</v>
      </c>
      <c r="F520" s="6">
        <v>234.89</v>
      </c>
      <c r="G520" s="6">
        <v>19351</v>
      </c>
      <c r="H520" s="10">
        <f>(Table7[[#This Row],[close]]-F519)/F519</f>
        <v>-8.0823549429992405E-4</v>
      </c>
    </row>
    <row r="521" spans="1:8" x14ac:dyDescent="0.3">
      <c r="A521" s="5">
        <v>45663</v>
      </c>
      <c r="B521" s="6" t="s">
        <v>37</v>
      </c>
      <c r="C521" s="6">
        <v>231.89</v>
      </c>
      <c r="D521" s="6">
        <v>235.8</v>
      </c>
      <c r="E521" s="6">
        <v>227.98</v>
      </c>
      <c r="F521" s="6">
        <v>232.51</v>
      </c>
      <c r="G521" s="6">
        <v>20330</v>
      </c>
      <c r="H521" s="10">
        <f>(Table7[[#This Row],[close]]-F520)/F520</f>
        <v>-1.0132402401123912E-2</v>
      </c>
    </row>
    <row r="522" spans="1:8" x14ac:dyDescent="0.3">
      <c r="A522" s="5">
        <v>45664</v>
      </c>
      <c r="B522" s="6" t="s">
        <v>37</v>
      </c>
      <c r="C522" s="6">
        <v>228.76</v>
      </c>
      <c r="D522" s="6">
        <v>232.33</v>
      </c>
      <c r="E522" s="6">
        <v>225.2</v>
      </c>
      <c r="F522" s="6">
        <v>228.88</v>
      </c>
      <c r="G522" s="6">
        <v>6075</v>
      </c>
      <c r="H522" s="10">
        <f>(Table7[[#This Row],[close]]-F521)/F521</f>
        <v>-1.5612231731968499E-2</v>
      </c>
    </row>
    <row r="523" spans="1:8" x14ac:dyDescent="0.3">
      <c r="A523" s="5">
        <v>45665</v>
      </c>
      <c r="B523" s="6" t="s">
        <v>37</v>
      </c>
      <c r="C523" s="6">
        <v>229.59</v>
      </c>
      <c r="D523" s="6">
        <v>233.26</v>
      </c>
      <c r="E523" s="6">
        <v>225.92</v>
      </c>
      <c r="F523" s="6">
        <v>228.77</v>
      </c>
      <c r="G523" s="6">
        <v>49200</v>
      </c>
      <c r="H523" s="10">
        <f>(Table7[[#This Row],[close]]-F522)/F522</f>
        <v>-4.806011883956013E-4</v>
      </c>
    </row>
    <row r="524" spans="1:8" x14ac:dyDescent="0.3">
      <c r="A524" s="5">
        <v>45666</v>
      </c>
      <c r="B524" s="6" t="s">
        <v>37</v>
      </c>
      <c r="C524" s="6">
        <v>226.34</v>
      </c>
      <c r="D524" s="6">
        <v>228.92</v>
      </c>
      <c r="E524" s="6">
        <v>223.76</v>
      </c>
      <c r="F524" s="6">
        <v>227.53</v>
      </c>
      <c r="G524" s="6">
        <v>14074</v>
      </c>
      <c r="H524" s="10">
        <f>(Table7[[#This Row],[close]]-F523)/F523</f>
        <v>-5.420291122087726E-3</v>
      </c>
    </row>
    <row r="525" spans="1:8" x14ac:dyDescent="0.3">
      <c r="A525" s="5">
        <v>45667</v>
      </c>
      <c r="B525" s="6" t="s">
        <v>37</v>
      </c>
      <c r="C525" s="6">
        <v>235.2</v>
      </c>
      <c r="D525" s="6">
        <v>237.5</v>
      </c>
      <c r="E525" s="6">
        <v>232.9</v>
      </c>
      <c r="F525" s="6">
        <v>233.42</v>
      </c>
      <c r="G525" s="6">
        <v>35228</v>
      </c>
      <c r="H525" s="10">
        <f>(Table7[[#This Row],[close]]-F524)/F524</f>
        <v>2.5886696259833808E-2</v>
      </c>
    </row>
    <row r="526" spans="1:8" x14ac:dyDescent="0.3">
      <c r="A526" s="5">
        <v>45670</v>
      </c>
      <c r="B526" s="6" t="s">
        <v>37</v>
      </c>
      <c r="C526" s="6">
        <v>239.8</v>
      </c>
      <c r="D526" s="6">
        <v>241.33</v>
      </c>
      <c r="E526" s="6">
        <v>238.28</v>
      </c>
      <c r="F526" s="6">
        <v>238.74</v>
      </c>
      <c r="G526" s="6">
        <v>7816</v>
      </c>
      <c r="H526" s="10">
        <f>(Table7[[#This Row],[close]]-F525)/F525</f>
        <v>2.2791534572873026E-2</v>
      </c>
    </row>
    <row r="527" spans="1:8" x14ac:dyDescent="0.3">
      <c r="A527" s="5">
        <v>45671</v>
      </c>
      <c r="B527" s="6" t="s">
        <v>37</v>
      </c>
      <c r="C527" s="6">
        <v>236.1</v>
      </c>
      <c r="D527" s="6">
        <v>237.92</v>
      </c>
      <c r="E527" s="6">
        <v>234.29</v>
      </c>
      <c r="F527" s="6">
        <v>235.71</v>
      </c>
      <c r="G527" s="6">
        <v>30492</v>
      </c>
      <c r="H527" s="10">
        <f>(Table7[[#This Row],[close]]-F526)/F526</f>
        <v>-1.2691631063081181E-2</v>
      </c>
    </row>
    <row r="528" spans="1:8" x14ac:dyDescent="0.3">
      <c r="A528" s="5">
        <v>45672</v>
      </c>
      <c r="B528" s="6" t="s">
        <v>37</v>
      </c>
      <c r="C528" s="6">
        <v>233.66</v>
      </c>
      <c r="D528" s="6">
        <v>235.05</v>
      </c>
      <c r="E528" s="6">
        <v>232.26</v>
      </c>
      <c r="F528" s="6">
        <v>233.66</v>
      </c>
      <c r="G528" s="6">
        <v>33808</v>
      </c>
      <c r="H528" s="10">
        <f>(Table7[[#This Row],[close]]-F527)/F527</f>
        <v>-8.6971278265665919E-3</v>
      </c>
    </row>
    <row r="529" spans="1:8" x14ac:dyDescent="0.3">
      <c r="A529" s="5">
        <v>45673</v>
      </c>
      <c r="B529" s="6" t="s">
        <v>37</v>
      </c>
      <c r="C529" s="6">
        <v>231.94</v>
      </c>
      <c r="D529" s="6">
        <v>234.16</v>
      </c>
      <c r="E529" s="6">
        <v>229.71</v>
      </c>
      <c r="F529" s="6">
        <v>233.94</v>
      </c>
      <c r="G529" s="6">
        <v>15849</v>
      </c>
      <c r="H529" s="10">
        <f>(Table7[[#This Row],[close]]-F528)/F528</f>
        <v>1.1983223487118083E-3</v>
      </c>
    </row>
    <row r="530" spans="1:8" x14ac:dyDescent="0.3">
      <c r="A530" s="5">
        <v>45674</v>
      </c>
      <c r="B530" s="6" t="s">
        <v>37</v>
      </c>
      <c r="C530" s="6">
        <v>238.32</v>
      </c>
      <c r="D530" s="6">
        <v>241.33</v>
      </c>
      <c r="E530" s="6">
        <v>235.32</v>
      </c>
      <c r="F530" s="6">
        <v>238.15</v>
      </c>
      <c r="G530" s="6">
        <v>6374</v>
      </c>
      <c r="H530" s="10">
        <f>(Table7[[#This Row],[close]]-F529)/F529</f>
        <v>1.7996067367701155E-2</v>
      </c>
    </row>
    <row r="531" spans="1:8" x14ac:dyDescent="0.3">
      <c r="A531" s="5">
        <v>45677</v>
      </c>
      <c r="B531" s="6" t="s">
        <v>37</v>
      </c>
      <c r="C531" s="6">
        <v>237.99</v>
      </c>
      <c r="D531" s="6">
        <v>238.75</v>
      </c>
      <c r="E531" s="6">
        <v>237.23</v>
      </c>
      <c r="F531" s="6">
        <v>238.38</v>
      </c>
      <c r="G531" s="6">
        <v>32600</v>
      </c>
      <c r="H531" s="10">
        <f>(Table7[[#This Row],[close]]-F530)/F530</f>
        <v>9.6577787108960639E-4</v>
      </c>
    </row>
    <row r="532" spans="1:8" x14ac:dyDescent="0.3">
      <c r="A532" s="5">
        <v>45678</v>
      </c>
      <c r="B532" s="6" t="s">
        <v>37</v>
      </c>
      <c r="C532" s="6">
        <v>236.16</v>
      </c>
      <c r="D532" s="6">
        <v>237.84</v>
      </c>
      <c r="E532" s="6">
        <v>234.47</v>
      </c>
      <c r="F532" s="6">
        <v>236.5</v>
      </c>
      <c r="G532" s="6">
        <v>1778</v>
      </c>
      <c r="H532" s="10">
        <f>(Table7[[#This Row],[close]]-F531)/F531</f>
        <v>-7.8865676650725549E-3</v>
      </c>
    </row>
    <row r="533" spans="1:8" x14ac:dyDescent="0.3">
      <c r="A533" s="5">
        <v>45679</v>
      </c>
      <c r="B533" s="6" t="s">
        <v>37</v>
      </c>
      <c r="C533" s="6">
        <v>236.71</v>
      </c>
      <c r="D533" s="6">
        <v>241.08</v>
      </c>
      <c r="E533" s="6">
        <v>232.33</v>
      </c>
      <c r="F533" s="6">
        <v>236.38</v>
      </c>
      <c r="G533" s="6">
        <v>31462</v>
      </c>
      <c r="H533" s="10">
        <f>(Table7[[#This Row],[close]]-F532)/F532</f>
        <v>-5.073995771670383E-4</v>
      </c>
    </row>
    <row r="534" spans="1:8" x14ac:dyDescent="0.3">
      <c r="A534" s="5">
        <v>45680</v>
      </c>
      <c r="B534" s="6" t="s">
        <v>37</v>
      </c>
      <c r="C534" s="6">
        <v>235.52</v>
      </c>
      <c r="D534" s="6">
        <v>237.66</v>
      </c>
      <c r="E534" s="6">
        <v>233.38</v>
      </c>
      <c r="F534" s="6">
        <v>234.57</v>
      </c>
      <c r="G534" s="6">
        <v>45900</v>
      </c>
      <c r="H534" s="10">
        <f>(Table7[[#This Row],[close]]-F533)/F533</f>
        <v>-7.6571621964633312E-3</v>
      </c>
    </row>
    <row r="535" spans="1:8" x14ac:dyDescent="0.3">
      <c r="A535" s="5">
        <v>45681</v>
      </c>
      <c r="B535" s="6" t="s">
        <v>37</v>
      </c>
      <c r="C535" s="6">
        <v>237.56</v>
      </c>
      <c r="D535" s="6">
        <v>239.24</v>
      </c>
      <c r="E535" s="6">
        <v>235.87</v>
      </c>
      <c r="F535" s="6">
        <v>236.41</v>
      </c>
      <c r="G535" s="6">
        <v>3044</v>
      </c>
      <c r="H535" s="10">
        <f>(Table7[[#This Row],[close]]-F534)/F534</f>
        <v>7.8441403419022195E-3</v>
      </c>
    </row>
    <row r="536" spans="1:8" x14ac:dyDescent="0.3">
      <c r="A536" s="5">
        <v>45684</v>
      </c>
      <c r="B536" s="6" t="s">
        <v>37</v>
      </c>
      <c r="C536" s="6">
        <v>235.52</v>
      </c>
      <c r="D536" s="6">
        <v>236.83</v>
      </c>
      <c r="E536" s="6">
        <v>234.21</v>
      </c>
      <c r="F536" s="6">
        <v>234.36</v>
      </c>
      <c r="G536" s="6">
        <v>26634</v>
      </c>
      <c r="H536" s="10">
        <f>(Table7[[#This Row],[close]]-F535)/F535</f>
        <v>-8.6713759993231384E-3</v>
      </c>
    </row>
    <row r="537" spans="1:8" x14ac:dyDescent="0.3">
      <c r="A537" s="5">
        <v>45685</v>
      </c>
      <c r="B537" s="6" t="s">
        <v>37</v>
      </c>
      <c r="C537" s="6">
        <v>232.8</v>
      </c>
      <c r="D537" s="6">
        <v>236.78</v>
      </c>
      <c r="E537" s="6">
        <v>228.82</v>
      </c>
      <c r="F537" s="6">
        <v>232.92</v>
      </c>
      <c r="G537" s="6">
        <v>45096</v>
      </c>
      <c r="H537" s="10">
        <f>(Table7[[#This Row],[close]]-F536)/F536</f>
        <v>-6.1443932411675457E-3</v>
      </c>
    </row>
    <row r="538" spans="1:8" x14ac:dyDescent="0.3">
      <c r="A538" s="5">
        <v>45686</v>
      </c>
      <c r="B538" s="6" t="s">
        <v>37</v>
      </c>
      <c r="C538" s="6">
        <v>234.83</v>
      </c>
      <c r="D538" s="6">
        <v>236.53</v>
      </c>
      <c r="E538" s="6">
        <v>233.13</v>
      </c>
      <c r="F538" s="6">
        <v>236.41</v>
      </c>
      <c r="G538" s="6">
        <v>35215</v>
      </c>
      <c r="H538" s="10">
        <f>(Table7[[#This Row],[close]]-F537)/F537</f>
        <v>1.498368538554014E-2</v>
      </c>
    </row>
    <row r="539" spans="1:8" x14ac:dyDescent="0.3">
      <c r="A539" s="5">
        <v>45687</v>
      </c>
      <c r="B539" s="6" t="s">
        <v>37</v>
      </c>
      <c r="C539" s="6">
        <v>233.91</v>
      </c>
      <c r="D539" s="6">
        <v>235.67</v>
      </c>
      <c r="E539" s="6">
        <v>232.15</v>
      </c>
      <c r="F539" s="6">
        <v>234.19</v>
      </c>
      <c r="G539" s="6">
        <v>43856</v>
      </c>
      <c r="H539" s="10">
        <f>(Table7[[#This Row],[close]]-F538)/F538</f>
        <v>-9.3904657163402516E-3</v>
      </c>
    </row>
    <row r="540" spans="1:8" x14ac:dyDescent="0.3">
      <c r="A540" s="5">
        <v>45688</v>
      </c>
      <c r="B540" s="6" t="s">
        <v>37</v>
      </c>
      <c r="C540" s="6">
        <v>230.42</v>
      </c>
      <c r="D540" s="6">
        <v>231.58</v>
      </c>
      <c r="E540" s="6">
        <v>229.26</v>
      </c>
      <c r="F540" s="6">
        <v>230.01</v>
      </c>
      <c r="G540" s="6">
        <v>17789</v>
      </c>
      <c r="H540" s="10">
        <f>(Table7[[#This Row],[close]]-F539)/F539</f>
        <v>-1.7848755284171E-2</v>
      </c>
    </row>
    <row r="541" spans="1:8" x14ac:dyDescent="0.3">
      <c r="A541" s="5">
        <v>45691</v>
      </c>
      <c r="B541" s="6" t="s">
        <v>37</v>
      </c>
      <c r="C541" s="6">
        <v>230.29</v>
      </c>
      <c r="D541" s="6">
        <v>233.14</v>
      </c>
      <c r="E541" s="6">
        <v>227.44</v>
      </c>
      <c r="F541" s="6">
        <v>230.34</v>
      </c>
      <c r="G541" s="6">
        <v>31483</v>
      </c>
      <c r="H541" s="10">
        <f>(Table7[[#This Row],[close]]-F540)/F540</f>
        <v>1.4347202295552912E-3</v>
      </c>
    </row>
    <row r="542" spans="1:8" x14ac:dyDescent="0.3">
      <c r="A542" s="5">
        <v>45692</v>
      </c>
      <c r="B542" s="6" t="s">
        <v>37</v>
      </c>
      <c r="C542" s="6">
        <v>229.7</v>
      </c>
      <c r="D542" s="6">
        <v>232.97</v>
      </c>
      <c r="E542" s="6">
        <v>226.42</v>
      </c>
      <c r="F542" s="6">
        <v>229.36</v>
      </c>
      <c r="G542" s="6">
        <v>19230</v>
      </c>
      <c r="H542" s="10">
        <f>(Table7[[#This Row],[close]]-F541)/F541</f>
        <v>-4.2545801858122328E-3</v>
      </c>
    </row>
    <row r="543" spans="1:8" x14ac:dyDescent="0.3">
      <c r="A543" s="5">
        <v>45693</v>
      </c>
      <c r="B543" s="6" t="s">
        <v>37</v>
      </c>
      <c r="C543" s="6">
        <v>231.83</v>
      </c>
      <c r="D543" s="6">
        <v>233.26</v>
      </c>
      <c r="E543" s="6">
        <v>230.41</v>
      </c>
      <c r="F543" s="6">
        <v>230.89</v>
      </c>
      <c r="G543" s="6">
        <v>22909</v>
      </c>
      <c r="H543" s="10">
        <f>(Table7[[#This Row],[close]]-F542)/F542</f>
        <v>6.6707359609346553E-3</v>
      </c>
    </row>
    <row r="544" spans="1:8" x14ac:dyDescent="0.3">
      <c r="A544" s="5">
        <v>45694</v>
      </c>
      <c r="B544" s="6" t="s">
        <v>37</v>
      </c>
      <c r="C544" s="6">
        <v>231.45</v>
      </c>
      <c r="D544" s="6">
        <v>235.52</v>
      </c>
      <c r="E544" s="6">
        <v>227.37</v>
      </c>
      <c r="F544" s="6">
        <v>231.87</v>
      </c>
      <c r="G544" s="6">
        <v>47571</v>
      </c>
      <c r="H544" s="10">
        <f>(Table7[[#This Row],[close]]-F543)/F543</f>
        <v>4.2444454069037992E-3</v>
      </c>
    </row>
    <row r="545" spans="1:8" x14ac:dyDescent="0.3">
      <c r="A545" s="5">
        <v>45695</v>
      </c>
      <c r="B545" s="6" t="s">
        <v>37</v>
      </c>
      <c r="C545" s="6">
        <v>232.65</v>
      </c>
      <c r="D545" s="6">
        <v>236.24</v>
      </c>
      <c r="E545" s="6">
        <v>229.05</v>
      </c>
      <c r="F545" s="6">
        <v>231.84</v>
      </c>
      <c r="G545" s="6">
        <v>12190</v>
      </c>
      <c r="H545" s="10">
        <f>(Table7[[#This Row],[close]]-F544)/F544</f>
        <v>-1.2938284383491239E-4</v>
      </c>
    </row>
    <row r="546" spans="1:8" x14ac:dyDescent="0.3">
      <c r="A546" s="5">
        <v>45698</v>
      </c>
      <c r="B546" s="6" t="s">
        <v>37</v>
      </c>
      <c r="C546" s="6">
        <v>233.37</v>
      </c>
      <c r="D546" s="6">
        <v>236.27</v>
      </c>
      <c r="E546" s="6">
        <v>230.47</v>
      </c>
      <c r="F546" s="6">
        <v>231.71</v>
      </c>
      <c r="G546" s="6">
        <v>21389</v>
      </c>
      <c r="H546" s="10">
        <f>(Table7[[#This Row],[close]]-F545)/F545</f>
        <v>-5.6073153899238888E-4</v>
      </c>
    </row>
    <row r="547" spans="1:8" x14ac:dyDescent="0.3">
      <c r="A547" s="5">
        <v>45699</v>
      </c>
      <c r="B547" s="6" t="s">
        <v>37</v>
      </c>
      <c r="C547" s="6">
        <v>229.21</v>
      </c>
      <c r="D547" s="6">
        <v>229.95</v>
      </c>
      <c r="E547" s="6">
        <v>228.46</v>
      </c>
      <c r="F547" s="6">
        <v>229.63</v>
      </c>
      <c r="G547" s="6">
        <v>27512</v>
      </c>
      <c r="H547" s="10">
        <f>(Table7[[#This Row],[close]]-F546)/F546</f>
        <v>-8.9767381640844697E-3</v>
      </c>
    </row>
    <row r="548" spans="1:8" x14ac:dyDescent="0.3">
      <c r="A548" s="5">
        <v>45700</v>
      </c>
      <c r="B548" s="6" t="s">
        <v>37</v>
      </c>
      <c r="C548" s="6">
        <v>228.63</v>
      </c>
      <c r="D548" s="6">
        <v>230.11</v>
      </c>
      <c r="E548" s="6">
        <v>227.15</v>
      </c>
      <c r="F548" s="6">
        <v>229.92</v>
      </c>
      <c r="G548" s="6">
        <v>5378</v>
      </c>
      <c r="H548" s="10">
        <f>(Table7[[#This Row],[close]]-F547)/F547</f>
        <v>1.2629011888690156E-3</v>
      </c>
    </row>
    <row r="549" spans="1:8" x14ac:dyDescent="0.3">
      <c r="A549" s="5">
        <v>45701</v>
      </c>
      <c r="B549" s="6" t="s">
        <v>37</v>
      </c>
      <c r="C549" s="6">
        <v>232.23</v>
      </c>
      <c r="D549" s="6">
        <v>233.2</v>
      </c>
      <c r="E549" s="6">
        <v>231.26</v>
      </c>
      <c r="F549" s="6">
        <v>232.55</v>
      </c>
      <c r="G549" s="6">
        <v>25000</v>
      </c>
      <c r="H549" s="10">
        <f>(Table7[[#This Row],[close]]-F548)/F548</f>
        <v>1.1438761308281246E-2</v>
      </c>
    </row>
    <row r="550" spans="1:8" x14ac:dyDescent="0.3">
      <c r="A550" s="5">
        <v>45702</v>
      </c>
      <c r="B550" s="6" t="s">
        <v>37</v>
      </c>
      <c r="C550" s="6">
        <v>229.72</v>
      </c>
      <c r="D550" s="6">
        <v>231.84</v>
      </c>
      <c r="E550" s="6">
        <v>227.59</v>
      </c>
      <c r="F550" s="6">
        <v>229.77</v>
      </c>
      <c r="G550" s="6">
        <v>30538</v>
      </c>
      <c r="H550" s="10">
        <f>(Table7[[#This Row],[close]]-F549)/F549</f>
        <v>-1.1954418404644167E-2</v>
      </c>
    </row>
    <row r="551" spans="1:8" x14ac:dyDescent="0.3">
      <c r="A551" s="5">
        <v>45705</v>
      </c>
      <c r="B551" s="6" t="s">
        <v>37</v>
      </c>
      <c r="C551" s="6">
        <v>228.85</v>
      </c>
      <c r="D551" s="6">
        <v>230.71</v>
      </c>
      <c r="E551" s="6">
        <v>227</v>
      </c>
      <c r="F551" s="6">
        <v>229.81</v>
      </c>
      <c r="G551" s="6">
        <v>31519</v>
      </c>
      <c r="H551" s="10">
        <f>(Table7[[#This Row],[close]]-F550)/F550</f>
        <v>1.740871306088351E-4</v>
      </c>
    </row>
    <row r="552" spans="1:8" x14ac:dyDescent="0.3">
      <c r="A552" s="5">
        <v>45706</v>
      </c>
      <c r="B552" s="6" t="s">
        <v>37</v>
      </c>
      <c r="C552" s="6">
        <v>233.01</v>
      </c>
      <c r="D552" s="6">
        <v>235.64</v>
      </c>
      <c r="E552" s="6">
        <v>230.39</v>
      </c>
      <c r="F552" s="6">
        <v>232.89</v>
      </c>
      <c r="G552" s="6">
        <v>44056</v>
      </c>
      <c r="H552" s="10">
        <f>(Table7[[#This Row],[close]]-F551)/F551</f>
        <v>1.3402375875723354E-2</v>
      </c>
    </row>
    <row r="553" spans="1:8" x14ac:dyDescent="0.3">
      <c r="A553" s="5">
        <v>45707</v>
      </c>
      <c r="B553" s="6" t="s">
        <v>37</v>
      </c>
      <c r="C553" s="6">
        <v>233.94</v>
      </c>
      <c r="D553" s="6">
        <v>234.47</v>
      </c>
      <c r="E553" s="6">
        <v>233.4</v>
      </c>
      <c r="F553" s="6">
        <v>234.43</v>
      </c>
      <c r="G553" s="6">
        <v>38418</v>
      </c>
      <c r="H553" s="10">
        <f>(Table7[[#This Row],[close]]-F552)/F552</f>
        <v>6.612563871355664E-3</v>
      </c>
    </row>
    <row r="554" spans="1:8" x14ac:dyDescent="0.3">
      <c r="A554" s="5">
        <v>45708</v>
      </c>
      <c r="B554" s="6" t="s">
        <v>37</v>
      </c>
      <c r="C554" s="6">
        <v>239.72</v>
      </c>
      <c r="D554" s="6">
        <v>242.41</v>
      </c>
      <c r="E554" s="6">
        <v>237.03</v>
      </c>
      <c r="F554" s="6">
        <v>238.39</v>
      </c>
      <c r="G554" s="6">
        <v>31502</v>
      </c>
      <c r="H554" s="10">
        <f>(Table7[[#This Row],[close]]-F553)/F553</f>
        <v>1.6892036002218058E-2</v>
      </c>
    </row>
    <row r="555" spans="1:8" x14ac:dyDescent="0.3">
      <c r="A555" s="5">
        <v>45709</v>
      </c>
      <c r="B555" s="6" t="s">
        <v>37</v>
      </c>
      <c r="C555" s="6">
        <v>237.29</v>
      </c>
      <c r="D555" s="6">
        <v>240.54</v>
      </c>
      <c r="E555" s="6">
        <v>234.04</v>
      </c>
      <c r="F555" s="6">
        <v>236.74</v>
      </c>
      <c r="G555" s="6">
        <v>13605</v>
      </c>
      <c r="H555" s="10">
        <f>(Table7[[#This Row],[close]]-F554)/F554</f>
        <v>-6.9214312680900099E-3</v>
      </c>
    </row>
    <row r="556" spans="1:8" x14ac:dyDescent="0.3">
      <c r="A556" s="5">
        <v>45712</v>
      </c>
      <c r="B556" s="6" t="s">
        <v>37</v>
      </c>
      <c r="C556" s="6">
        <v>232.22</v>
      </c>
      <c r="D556" s="6">
        <v>233.24</v>
      </c>
      <c r="E556" s="6">
        <v>231.2</v>
      </c>
      <c r="F556" s="6">
        <v>231.4</v>
      </c>
      <c r="G556" s="6">
        <v>23760</v>
      </c>
      <c r="H556" s="10">
        <f>(Table7[[#This Row],[close]]-F555)/F555</f>
        <v>-2.2556390977443622E-2</v>
      </c>
    </row>
    <row r="557" spans="1:8" x14ac:dyDescent="0.3">
      <c r="A557" s="5">
        <v>45713</v>
      </c>
      <c r="B557" s="6" t="s">
        <v>37</v>
      </c>
      <c r="C557" s="6">
        <v>232.76</v>
      </c>
      <c r="D557" s="6">
        <v>233.88</v>
      </c>
      <c r="E557" s="6">
        <v>231.64</v>
      </c>
      <c r="F557" s="6">
        <v>232.04</v>
      </c>
      <c r="G557" s="6">
        <v>5648</v>
      </c>
      <c r="H557" s="10">
        <f>(Table7[[#This Row],[close]]-F556)/F556</f>
        <v>2.7657735522903472E-3</v>
      </c>
    </row>
    <row r="558" spans="1:8" x14ac:dyDescent="0.3">
      <c r="A558" s="5">
        <v>45714</v>
      </c>
      <c r="B558" s="6" t="s">
        <v>37</v>
      </c>
      <c r="C558" s="6">
        <v>233.83</v>
      </c>
      <c r="D558" s="6">
        <v>236.98</v>
      </c>
      <c r="E558" s="6">
        <v>230.68</v>
      </c>
      <c r="F558" s="6">
        <v>233.16</v>
      </c>
      <c r="G558" s="6">
        <v>45602</v>
      </c>
      <c r="H558" s="10">
        <f>(Table7[[#This Row],[close]]-F557)/F557</f>
        <v>4.8267540079296872E-3</v>
      </c>
    </row>
    <row r="559" spans="1:8" x14ac:dyDescent="0.3">
      <c r="A559" s="5">
        <v>45715</v>
      </c>
      <c r="B559" s="6" t="s">
        <v>37</v>
      </c>
      <c r="C559" s="6">
        <v>236.4</v>
      </c>
      <c r="D559" s="6">
        <v>239.68</v>
      </c>
      <c r="E559" s="6">
        <v>233.12</v>
      </c>
      <c r="F559" s="6">
        <v>237.27</v>
      </c>
      <c r="G559" s="6">
        <v>5492</v>
      </c>
      <c r="H559" s="10">
        <f>(Table7[[#This Row],[close]]-F558)/F558</f>
        <v>1.7627380339680965E-2</v>
      </c>
    </row>
    <row r="560" spans="1:8" x14ac:dyDescent="0.3">
      <c r="A560" s="5">
        <v>45716</v>
      </c>
      <c r="B560" s="6" t="s">
        <v>37</v>
      </c>
      <c r="C560" s="6">
        <v>242.43</v>
      </c>
      <c r="D560" s="6">
        <v>244.16</v>
      </c>
      <c r="E560" s="6">
        <v>240.69</v>
      </c>
      <c r="F560" s="6">
        <v>240.91</v>
      </c>
      <c r="G560" s="6">
        <v>22386</v>
      </c>
      <c r="H560" s="10">
        <f>(Table7[[#This Row],[close]]-F559)/F559</f>
        <v>1.5341172503898454E-2</v>
      </c>
    </row>
    <row r="561" spans="1:8" x14ac:dyDescent="0.3">
      <c r="A561" s="5">
        <v>45719</v>
      </c>
      <c r="B561" s="6" t="s">
        <v>37</v>
      </c>
      <c r="C561" s="6">
        <v>242.25</v>
      </c>
      <c r="D561" s="6">
        <v>243.24</v>
      </c>
      <c r="E561" s="6">
        <v>241.27</v>
      </c>
      <c r="F561" s="6">
        <v>242.6</v>
      </c>
      <c r="G561" s="6">
        <v>45199</v>
      </c>
      <c r="H561" s="10">
        <f>(Table7[[#This Row],[close]]-F560)/F560</f>
        <v>7.0150678676684144E-3</v>
      </c>
    </row>
    <row r="562" spans="1:8" x14ac:dyDescent="0.3">
      <c r="A562" s="5">
        <v>45720</v>
      </c>
      <c r="B562" s="6" t="s">
        <v>37</v>
      </c>
      <c r="C562" s="6">
        <v>245.03</v>
      </c>
      <c r="D562" s="6">
        <v>247.07</v>
      </c>
      <c r="E562" s="6">
        <v>242.99</v>
      </c>
      <c r="F562" s="6">
        <v>245.01</v>
      </c>
      <c r="G562" s="6">
        <v>13743</v>
      </c>
      <c r="H562" s="10">
        <f>(Table7[[#This Row],[close]]-F561)/F561</f>
        <v>9.9340478153338695E-3</v>
      </c>
    </row>
    <row r="563" spans="1:8" x14ac:dyDescent="0.3">
      <c r="A563" s="5">
        <v>45721</v>
      </c>
      <c r="B563" s="6" t="s">
        <v>37</v>
      </c>
      <c r="C563" s="6">
        <v>245.48</v>
      </c>
      <c r="D563" s="6">
        <v>247.76</v>
      </c>
      <c r="E563" s="6">
        <v>243.21</v>
      </c>
      <c r="F563" s="6">
        <v>244.47</v>
      </c>
      <c r="G563" s="6">
        <v>7588</v>
      </c>
      <c r="H563" s="10">
        <f>(Table7[[#This Row],[close]]-F562)/F562</f>
        <v>-2.2039916738092E-3</v>
      </c>
    </row>
    <row r="564" spans="1:8" x14ac:dyDescent="0.3">
      <c r="A564" s="5">
        <v>45722</v>
      </c>
      <c r="B564" s="6" t="s">
        <v>37</v>
      </c>
      <c r="C564" s="6">
        <v>239.57</v>
      </c>
      <c r="D564" s="6">
        <v>242.3</v>
      </c>
      <c r="E564" s="6">
        <v>236.84</v>
      </c>
      <c r="F564" s="6">
        <v>240.81</v>
      </c>
      <c r="G564" s="6">
        <v>34755</v>
      </c>
      <c r="H564" s="10">
        <f>(Table7[[#This Row],[close]]-F563)/F563</f>
        <v>-1.4971162105779836E-2</v>
      </c>
    </row>
    <row r="565" spans="1:8" x14ac:dyDescent="0.3">
      <c r="A565" s="5">
        <v>45723</v>
      </c>
      <c r="B565" s="6" t="s">
        <v>37</v>
      </c>
      <c r="C565" s="6">
        <v>243.2</v>
      </c>
      <c r="D565" s="6">
        <v>245.18</v>
      </c>
      <c r="E565" s="6">
        <v>241.21</v>
      </c>
      <c r="F565" s="6">
        <v>241.22</v>
      </c>
      <c r="G565" s="6">
        <v>14146</v>
      </c>
      <c r="H565" s="10">
        <f>(Table7[[#This Row],[close]]-F564)/F564</f>
        <v>1.7025871018645263E-3</v>
      </c>
    </row>
    <row r="566" spans="1:8" x14ac:dyDescent="0.3">
      <c r="A566" s="5">
        <v>45726</v>
      </c>
      <c r="B566" s="6" t="s">
        <v>37</v>
      </c>
      <c r="C566" s="6">
        <v>242.54</v>
      </c>
      <c r="D566" s="6">
        <v>244.29</v>
      </c>
      <c r="E566" s="6">
        <v>240.78</v>
      </c>
      <c r="F566" s="6">
        <v>244.28</v>
      </c>
      <c r="G566" s="6">
        <v>1726</v>
      </c>
      <c r="H566" s="10">
        <f>(Table7[[#This Row],[close]]-F565)/F565</f>
        <v>1.2685515297239044E-2</v>
      </c>
    </row>
    <row r="567" spans="1:8" x14ac:dyDescent="0.3">
      <c r="A567" s="5">
        <v>45727</v>
      </c>
      <c r="B567" s="6" t="s">
        <v>37</v>
      </c>
      <c r="C567" s="6">
        <v>244.32</v>
      </c>
      <c r="D567" s="6">
        <v>246.57</v>
      </c>
      <c r="E567" s="6">
        <v>242.08</v>
      </c>
      <c r="F567" s="6">
        <v>246.37</v>
      </c>
      <c r="G567" s="6">
        <v>47737</v>
      </c>
      <c r="H567" s="10">
        <f>(Table7[[#This Row],[close]]-F566)/F566</f>
        <v>8.5557556901915965E-3</v>
      </c>
    </row>
    <row r="568" spans="1:8" x14ac:dyDescent="0.3">
      <c r="A568" s="5">
        <v>45728</v>
      </c>
      <c r="B568" s="6" t="s">
        <v>37</v>
      </c>
      <c r="C568" s="6">
        <v>248.36</v>
      </c>
      <c r="D568" s="6">
        <v>249.6</v>
      </c>
      <c r="E568" s="6">
        <v>247.12</v>
      </c>
      <c r="F568" s="6">
        <v>249.03</v>
      </c>
      <c r="G568" s="6">
        <v>25995</v>
      </c>
      <c r="H568" s="10">
        <f>(Table7[[#This Row],[close]]-F567)/F567</f>
        <v>1.0796769087145337E-2</v>
      </c>
    </row>
    <row r="569" spans="1:8" x14ac:dyDescent="0.3">
      <c r="A569" s="5">
        <v>45729</v>
      </c>
      <c r="B569" s="6" t="s">
        <v>37</v>
      </c>
      <c r="C569" s="6">
        <v>248.37</v>
      </c>
      <c r="D569" s="6">
        <v>249.58</v>
      </c>
      <c r="E569" s="6">
        <v>247.15</v>
      </c>
      <c r="F569" s="6">
        <v>247.75</v>
      </c>
      <c r="G569" s="6">
        <v>11651</v>
      </c>
      <c r="H569" s="10">
        <f>(Table7[[#This Row],[close]]-F568)/F568</f>
        <v>-5.1399429787575843E-3</v>
      </c>
    </row>
    <row r="570" spans="1:8" x14ac:dyDescent="0.3">
      <c r="A570" s="5">
        <v>45730</v>
      </c>
      <c r="B570" s="6" t="s">
        <v>37</v>
      </c>
      <c r="C570" s="6">
        <v>246.12</v>
      </c>
      <c r="D570" s="6">
        <v>249.7</v>
      </c>
      <c r="E570" s="6">
        <v>242.54</v>
      </c>
      <c r="F570" s="6">
        <v>246.98</v>
      </c>
      <c r="G570" s="6">
        <v>17715</v>
      </c>
      <c r="H570" s="10">
        <f>(Table7[[#This Row],[close]]-F569)/F569</f>
        <v>-3.1079717457114437E-3</v>
      </c>
    </row>
    <row r="571" spans="1:8" x14ac:dyDescent="0.3">
      <c r="A571" s="5">
        <v>45733</v>
      </c>
      <c r="B571" s="6" t="s">
        <v>37</v>
      </c>
      <c r="C571" s="6">
        <v>247.87</v>
      </c>
      <c r="D571" s="6">
        <v>248.95</v>
      </c>
      <c r="E571" s="6">
        <v>246.79</v>
      </c>
      <c r="F571" s="6">
        <v>248.55</v>
      </c>
      <c r="G571" s="6">
        <v>6889</v>
      </c>
      <c r="H571" s="10">
        <f>(Table7[[#This Row],[close]]-F570)/F570</f>
        <v>6.3567900234837707E-3</v>
      </c>
    </row>
    <row r="572" spans="1:8" x14ac:dyDescent="0.3">
      <c r="A572" s="5">
        <v>45734</v>
      </c>
      <c r="B572" s="6" t="s">
        <v>37</v>
      </c>
      <c r="C572" s="6">
        <v>246.88</v>
      </c>
      <c r="D572" s="6">
        <v>250.21</v>
      </c>
      <c r="E572" s="6">
        <v>243.55</v>
      </c>
      <c r="F572" s="6">
        <v>246.9</v>
      </c>
      <c r="G572" s="6">
        <v>35610</v>
      </c>
      <c r="H572" s="10">
        <f>(Table7[[#This Row],[close]]-F571)/F571</f>
        <v>-6.638503319251682E-3</v>
      </c>
    </row>
    <row r="573" spans="1:8" x14ac:dyDescent="0.3">
      <c r="A573" s="5">
        <v>45735</v>
      </c>
      <c r="B573" s="6" t="s">
        <v>37</v>
      </c>
      <c r="C573" s="6">
        <v>246.8</v>
      </c>
      <c r="D573" s="6">
        <v>248.28</v>
      </c>
      <c r="E573" s="6">
        <v>245.31</v>
      </c>
      <c r="F573" s="6">
        <v>245.36</v>
      </c>
      <c r="G573" s="6">
        <v>13497</v>
      </c>
      <c r="H573" s="10">
        <f>(Table7[[#This Row],[close]]-F572)/F572</f>
        <v>-6.2373430538679303E-3</v>
      </c>
    </row>
    <row r="574" spans="1:8" x14ac:dyDescent="0.3">
      <c r="A574" s="5">
        <v>45736</v>
      </c>
      <c r="B574" s="6" t="s">
        <v>37</v>
      </c>
      <c r="C574" s="6">
        <v>246.4</v>
      </c>
      <c r="D574" s="6">
        <v>247.03</v>
      </c>
      <c r="E574" s="6">
        <v>245.78</v>
      </c>
      <c r="F574" s="6">
        <v>246.35</v>
      </c>
      <c r="G574" s="6">
        <v>41486</v>
      </c>
      <c r="H574" s="10">
        <f>(Table7[[#This Row],[close]]-F573)/F573</f>
        <v>4.034887512226853E-3</v>
      </c>
    </row>
    <row r="575" spans="1:8" x14ac:dyDescent="0.3">
      <c r="A575" s="5">
        <v>45737</v>
      </c>
      <c r="B575" s="6" t="s">
        <v>37</v>
      </c>
      <c r="C575" s="6">
        <v>249.15</v>
      </c>
      <c r="D575" s="6">
        <v>253.12</v>
      </c>
      <c r="E575" s="6">
        <v>245.18</v>
      </c>
      <c r="F575" s="6">
        <v>248.78</v>
      </c>
      <c r="G575" s="6">
        <v>12777</v>
      </c>
      <c r="H575" s="10">
        <f>(Table7[[#This Row],[close]]-F574)/F574</f>
        <v>9.86401461335501E-3</v>
      </c>
    </row>
    <row r="576" spans="1:8" x14ac:dyDescent="0.3">
      <c r="A576" s="5">
        <v>45740</v>
      </c>
      <c r="B576" s="6" t="s">
        <v>37</v>
      </c>
      <c r="C576" s="6">
        <v>247.47</v>
      </c>
      <c r="D576" s="6">
        <v>250.84</v>
      </c>
      <c r="E576" s="6">
        <v>244.1</v>
      </c>
      <c r="F576" s="6">
        <v>248.21</v>
      </c>
      <c r="G576" s="6">
        <v>28997</v>
      </c>
      <c r="H576" s="10">
        <f>(Table7[[#This Row],[close]]-F575)/F575</f>
        <v>-2.2911809630999E-3</v>
      </c>
    </row>
    <row r="577" spans="1:8" x14ac:dyDescent="0.3">
      <c r="A577" s="5">
        <v>45741</v>
      </c>
      <c r="B577" s="6" t="s">
        <v>37</v>
      </c>
      <c r="C577" s="6">
        <v>244.98</v>
      </c>
      <c r="D577" s="6">
        <v>245.36</v>
      </c>
      <c r="E577" s="6">
        <v>244.6</v>
      </c>
      <c r="F577" s="6">
        <v>244.66</v>
      </c>
      <c r="G577" s="6">
        <v>29669</v>
      </c>
      <c r="H577" s="10">
        <f>(Table7[[#This Row],[close]]-F576)/F576</f>
        <v>-1.4302405221385163E-2</v>
      </c>
    </row>
    <row r="578" spans="1:8" x14ac:dyDescent="0.3">
      <c r="A578" s="5">
        <v>45742</v>
      </c>
      <c r="B578" s="6" t="s">
        <v>37</v>
      </c>
      <c r="C578" s="6">
        <v>242.66</v>
      </c>
      <c r="D578" s="6">
        <v>245.04</v>
      </c>
      <c r="E578" s="6">
        <v>240.28</v>
      </c>
      <c r="F578" s="6">
        <v>242.46</v>
      </c>
      <c r="G578" s="6">
        <v>49438</v>
      </c>
      <c r="H578" s="10">
        <f>(Table7[[#This Row],[close]]-F577)/F577</f>
        <v>-8.9920706286274361E-3</v>
      </c>
    </row>
    <row r="579" spans="1:8" x14ac:dyDescent="0.3">
      <c r="A579" s="5">
        <v>45743</v>
      </c>
      <c r="B579" s="6" t="s">
        <v>37</v>
      </c>
      <c r="C579" s="6">
        <v>244.44</v>
      </c>
      <c r="D579" s="6">
        <v>245.95</v>
      </c>
      <c r="E579" s="6">
        <v>242.93</v>
      </c>
      <c r="F579" s="6">
        <v>243.14</v>
      </c>
      <c r="G579" s="6">
        <v>10428</v>
      </c>
      <c r="H579" s="10">
        <f>(Table7[[#This Row],[close]]-F578)/F578</f>
        <v>2.8045863235171922E-3</v>
      </c>
    </row>
    <row r="580" spans="1:8" x14ac:dyDescent="0.3">
      <c r="A580" s="5">
        <v>45744</v>
      </c>
      <c r="B580" s="6" t="s">
        <v>37</v>
      </c>
      <c r="C580" s="6">
        <v>245.23</v>
      </c>
      <c r="D580" s="6">
        <v>247.73</v>
      </c>
      <c r="E580" s="6">
        <v>242.73</v>
      </c>
      <c r="F580" s="6">
        <v>243.79</v>
      </c>
      <c r="G580" s="6">
        <v>40832</v>
      </c>
      <c r="H580" s="10">
        <f>(Table7[[#This Row],[close]]-F579)/F579</f>
        <v>2.6733569137122881E-3</v>
      </c>
    </row>
    <row r="581" spans="1:8" x14ac:dyDescent="0.3">
      <c r="A581" s="5">
        <v>45747</v>
      </c>
      <c r="B581" s="6" t="s">
        <v>37</v>
      </c>
      <c r="C581" s="6">
        <v>244.77</v>
      </c>
      <c r="D581" s="6">
        <v>248.15</v>
      </c>
      <c r="E581" s="6">
        <v>241.4</v>
      </c>
      <c r="F581" s="6">
        <v>244.59</v>
      </c>
      <c r="G581" s="6">
        <v>35587</v>
      </c>
      <c r="H581" s="10">
        <f>(Table7[[#This Row],[close]]-F580)/F580</f>
        <v>3.2815127773904236E-3</v>
      </c>
    </row>
    <row r="582" spans="1:8" x14ac:dyDescent="0.3">
      <c r="A582" s="5">
        <v>45748</v>
      </c>
      <c r="B582" s="6" t="s">
        <v>37</v>
      </c>
      <c r="C582" s="6">
        <v>245.11</v>
      </c>
      <c r="D582" s="6">
        <v>248.16</v>
      </c>
      <c r="E582" s="6">
        <v>242.06</v>
      </c>
      <c r="F582" s="6">
        <v>246.26</v>
      </c>
      <c r="G582" s="6">
        <v>36426</v>
      </c>
      <c r="H582" s="10">
        <f>(Table7[[#This Row],[close]]-F581)/F581</f>
        <v>6.8277525655177545E-3</v>
      </c>
    </row>
    <row r="583" spans="1:8" x14ac:dyDescent="0.3">
      <c r="A583" s="5">
        <v>45749</v>
      </c>
      <c r="B583" s="6" t="s">
        <v>37</v>
      </c>
      <c r="C583" s="6">
        <v>245.19</v>
      </c>
      <c r="D583" s="6">
        <v>246.72</v>
      </c>
      <c r="E583" s="6">
        <v>243.66</v>
      </c>
      <c r="F583" s="6">
        <v>246.33</v>
      </c>
      <c r="G583" s="6">
        <v>11213</v>
      </c>
      <c r="H583" s="10">
        <f>(Table7[[#This Row],[close]]-F582)/F582</f>
        <v>2.8425241614562499E-4</v>
      </c>
    </row>
    <row r="584" spans="1:8" x14ac:dyDescent="0.3">
      <c r="A584" s="5">
        <v>45750</v>
      </c>
      <c r="B584" s="6" t="s">
        <v>37</v>
      </c>
      <c r="C584" s="6">
        <v>248.06</v>
      </c>
      <c r="D584" s="6">
        <v>251.12</v>
      </c>
      <c r="E584" s="6">
        <v>245.01</v>
      </c>
      <c r="F584" s="6">
        <v>247.22</v>
      </c>
      <c r="G584" s="6">
        <v>43849</v>
      </c>
      <c r="H584" s="10">
        <f>(Table7[[#This Row],[close]]-F583)/F583</f>
        <v>3.6130394186659615E-3</v>
      </c>
    </row>
    <row r="585" spans="1:8" x14ac:dyDescent="0.3">
      <c r="A585" s="5">
        <v>45751</v>
      </c>
      <c r="B585" s="6" t="s">
        <v>37</v>
      </c>
      <c r="C585" s="6">
        <v>246.97</v>
      </c>
      <c r="D585" s="6">
        <v>249.03</v>
      </c>
      <c r="E585" s="6">
        <v>244.91</v>
      </c>
      <c r="F585" s="6">
        <v>247.13</v>
      </c>
      <c r="G585" s="6">
        <v>40758</v>
      </c>
      <c r="H585" s="10">
        <f>(Table7[[#This Row],[close]]-F584)/F584</f>
        <v>-3.640482161637546E-4</v>
      </c>
    </row>
    <row r="586" spans="1:8" x14ac:dyDescent="0.3">
      <c r="A586" s="5">
        <v>45754</v>
      </c>
      <c r="B586" s="6" t="s">
        <v>37</v>
      </c>
      <c r="C586" s="6">
        <v>252.45</v>
      </c>
      <c r="D586" s="6">
        <v>254.61</v>
      </c>
      <c r="E586" s="6">
        <v>250.3</v>
      </c>
      <c r="F586" s="6">
        <v>250.8</v>
      </c>
      <c r="G586" s="6">
        <v>16434</v>
      </c>
      <c r="H586" s="10">
        <f>(Table7[[#This Row],[close]]-F585)/F585</f>
        <v>1.4850483551167467E-2</v>
      </c>
    </row>
    <row r="587" spans="1:8" x14ac:dyDescent="0.3">
      <c r="A587" s="5">
        <v>45755</v>
      </c>
      <c r="B587" s="6" t="s">
        <v>37</v>
      </c>
      <c r="C587" s="6">
        <v>255.96</v>
      </c>
      <c r="D587" s="6">
        <v>258.39999999999998</v>
      </c>
      <c r="E587" s="6">
        <v>253.53</v>
      </c>
      <c r="F587" s="6">
        <v>255.42</v>
      </c>
      <c r="G587" s="6">
        <v>2141</v>
      </c>
      <c r="H587" s="10">
        <f>(Table7[[#This Row],[close]]-F586)/F586</f>
        <v>1.8421052631578852E-2</v>
      </c>
    </row>
    <row r="588" spans="1:8" x14ac:dyDescent="0.3">
      <c r="A588" s="5">
        <v>45756</v>
      </c>
      <c r="B588" s="6" t="s">
        <v>37</v>
      </c>
      <c r="C588" s="6">
        <v>251.73</v>
      </c>
      <c r="D588" s="6">
        <v>255.24</v>
      </c>
      <c r="E588" s="6">
        <v>248.22</v>
      </c>
      <c r="F588" s="6">
        <v>251.69</v>
      </c>
      <c r="G588" s="6">
        <v>46734</v>
      </c>
      <c r="H588" s="10">
        <f>(Table7[[#This Row],[close]]-F587)/F587</f>
        <v>-1.4603398324328517E-2</v>
      </c>
    </row>
    <row r="589" spans="1:8" x14ac:dyDescent="0.3">
      <c r="A589" s="5">
        <v>45757</v>
      </c>
      <c r="B589" s="6" t="s">
        <v>37</v>
      </c>
      <c r="C589" s="6">
        <v>251.81</v>
      </c>
      <c r="D589" s="6">
        <v>253.51</v>
      </c>
      <c r="E589" s="6">
        <v>250.11</v>
      </c>
      <c r="F589" s="6">
        <v>250.94</v>
      </c>
      <c r="G589" s="6">
        <v>17390</v>
      </c>
      <c r="H589" s="10">
        <f>(Table7[[#This Row],[close]]-F588)/F588</f>
        <v>-2.9798561722754182E-3</v>
      </c>
    </row>
    <row r="590" spans="1:8" x14ac:dyDescent="0.3">
      <c r="A590" s="5">
        <v>45758</v>
      </c>
      <c r="B590" s="6" t="s">
        <v>37</v>
      </c>
      <c r="C590" s="6">
        <v>249.22</v>
      </c>
      <c r="D590" s="6">
        <v>251.82</v>
      </c>
      <c r="E590" s="6">
        <v>246.63</v>
      </c>
      <c r="F590" s="6">
        <v>251.1</v>
      </c>
      <c r="G590" s="6">
        <v>28840</v>
      </c>
      <c r="H590" s="10">
        <f>(Table7[[#This Row],[close]]-F589)/F589</f>
        <v>6.3760261417070455E-4</v>
      </c>
    </row>
    <row r="591" spans="1:8" x14ac:dyDescent="0.3">
      <c r="A591" s="5">
        <v>45761</v>
      </c>
      <c r="B591" s="6" t="s">
        <v>37</v>
      </c>
      <c r="C591" s="6">
        <v>251.84</v>
      </c>
      <c r="D591" s="6">
        <v>255.06</v>
      </c>
      <c r="E591" s="6">
        <v>248.62</v>
      </c>
      <c r="F591" s="6">
        <v>250.32</v>
      </c>
      <c r="G591" s="6">
        <v>41379</v>
      </c>
      <c r="H591" s="10">
        <f>(Table7[[#This Row],[close]]-F590)/F590</f>
        <v>-3.1063321385902077E-3</v>
      </c>
    </row>
    <row r="592" spans="1:8" x14ac:dyDescent="0.3">
      <c r="A592" s="5">
        <v>45762</v>
      </c>
      <c r="B592" s="6" t="s">
        <v>37</v>
      </c>
      <c r="C592" s="6">
        <v>257.05</v>
      </c>
      <c r="D592" s="6">
        <v>258.04000000000002</v>
      </c>
      <c r="E592" s="6">
        <v>256.06</v>
      </c>
      <c r="F592" s="6">
        <v>256.10000000000002</v>
      </c>
      <c r="G592" s="6">
        <v>45014</v>
      </c>
      <c r="H592" s="10">
        <f>(Table7[[#This Row],[close]]-F591)/F591</f>
        <v>2.3090444231383948E-2</v>
      </c>
    </row>
    <row r="593" spans="1:8" x14ac:dyDescent="0.3">
      <c r="A593" s="5">
        <v>45763</v>
      </c>
      <c r="B593" s="6" t="s">
        <v>37</v>
      </c>
      <c r="C593" s="6">
        <v>256.01</v>
      </c>
      <c r="D593" s="6">
        <v>257.25</v>
      </c>
      <c r="E593" s="6">
        <v>254.78</v>
      </c>
      <c r="F593" s="6">
        <v>256.88</v>
      </c>
      <c r="G593" s="6">
        <v>12120</v>
      </c>
      <c r="H593" s="10">
        <f>(Table7[[#This Row],[close]]-F592)/F592</f>
        <v>3.0456852791877105E-3</v>
      </c>
    </row>
    <row r="594" spans="1:8" x14ac:dyDescent="0.3">
      <c r="A594" s="5">
        <v>45764</v>
      </c>
      <c r="B594" s="6" t="s">
        <v>37</v>
      </c>
      <c r="C594" s="6">
        <v>254.53</v>
      </c>
      <c r="D594" s="6">
        <v>257.79000000000002</v>
      </c>
      <c r="E594" s="6">
        <v>251.27</v>
      </c>
      <c r="F594" s="6">
        <v>254.35</v>
      </c>
      <c r="G594" s="6">
        <v>1929</v>
      </c>
      <c r="H594" s="10">
        <f>(Table7[[#This Row],[close]]-F593)/F593</f>
        <v>-9.8489567113048942E-3</v>
      </c>
    </row>
    <row r="595" spans="1:8" x14ac:dyDescent="0.3">
      <c r="A595" s="5">
        <v>45765</v>
      </c>
      <c r="B595" s="6" t="s">
        <v>37</v>
      </c>
      <c r="C595" s="6">
        <v>257</v>
      </c>
      <c r="D595" s="6">
        <v>260.64</v>
      </c>
      <c r="E595" s="6">
        <v>253.36</v>
      </c>
      <c r="F595" s="6">
        <v>256.33</v>
      </c>
      <c r="G595" s="6">
        <v>49613</v>
      </c>
      <c r="H595" s="10">
        <f>(Table7[[#This Row],[close]]-F594)/F594</f>
        <v>7.7845488500097888E-3</v>
      </c>
    </row>
    <row r="596" spans="1:8" x14ac:dyDescent="0.3">
      <c r="A596" s="5">
        <v>45768</v>
      </c>
      <c r="B596" s="6" t="s">
        <v>37</v>
      </c>
      <c r="C596" s="6">
        <v>256.66000000000003</v>
      </c>
      <c r="D596" s="6">
        <v>259.60000000000002</v>
      </c>
      <c r="E596" s="6">
        <v>253.73</v>
      </c>
      <c r="F596" s="6">
        <v>257.27</v>
      </c>
      <c r="G596" s="6">
        <v>19284</v>
      </c>
      <c r="H596" s="10">
        <f>(Table7[[#This Row],[close]]-F595)/F595</f>
        <v>3.6671478172667958E-3</v>
      </c>
    </row>
    <row r="597" spans="1:8" x14ac:dyDescent="0.3">
      <c r="A597" s="5">
        <v>45769</v>
      </c>
      <c r="B597" s="6" t="s">
        <v>37</v>
      </c>
      <c r="C597" s="6">
        <v>260.24</v>
      </c>
      <c r="D597" s="6">
        <v>263.33999999999997</v>
      </c>
      <c r="E597" s="6">
        <v>257.14</v>
      </c>
      <c r="F597" s="6">
        <v>258.32</v>
      </c>
      <c r="G597" s="6">
        <v>20799</v>
      </c>
      <c r="H597" s="10">
        <f>(Table7[[#This Row],[close]]-F596)/F596</f>
        <v>4.0813153496327258E-3</v>
      </c>
    </row>
    <row r="598" spans="1:8" x14ac:dyDescent="0.3">
      <c r="A598" s="5">
        <v>45770</v>
      </c>
      <c r="B598" s="6" t="s">
        <v>37</v>
      </c>
      <c r="C598" s="6">
        <v>263.12</v>
      </c>
      <c r="D598" s="6">
        <v>267</v>
      </c>
      <c r="E598" s="6">
        <v>259.23</v>
      </c>
      <c r="F598" s="6">
        <v>264.33</v>
      </c>
      <c r="G598" s="6">
        <v>25323</v>
      </c>
      <c r="H598" s="10">
        <f>(Table7[[#This Row],[close]]-F597)/F597</f>
        <v>2.326571694022914E-2</v>
      </c>
    </row>
    <row r="599" spans="1:8" x14ac:dyDescent="0.3">
      <c r="A599" s="5">
        <v>45771</v>
      </c>
      <c r="B599" s="6" t="s">
        <v>37</v>
      </c>
      <c r="C599" s="6">
        <v>265.27</v>
      </c>
      <c r="D599" s="6">
        <v>266.08999999999997</v>
      </c>
      <c r="E599" s="6">
        <v>264.45999999999998</v>
      </c>
      <c r="F599" s="6">
        <v>265.57</v>
      </c>
      <c r="G599" s="6">
        <v>38226</v>
      </c>
      <c r="H599" s="10">
        <f>(Table7[[#This Row],[close]]-F598)/F598</f>
        <v>4.6911058147013551E-3</v>
      </c>
    </row>
    <row r="600" spans="1:8" x14ac:dyDescent="0.3">
      <c r="A600" s="5">
        <v>45772</v>
      </c>
      <c r="B600" s="6" t="s">
        <v>37</v>
      </c>
      <c r="C600" s="6">
        <v>265.22000000000003</v>
      </c>
      <c r="D600" s="6">
        <v>266.67</v>
      </c>
      <c r="E600" s="6">
        <v>263.77</v>
      </c>
      <c r="F600" s="6">
        <v>264.61</v>
      </c>
      <c r="G600" s="6">
        <v>27417</v>
      </c>
      <c r="H600" s="10">
        <f>(Table7[[#This Row],[close]]-F599)/F599</f>
        <v>-3.6148661369882879E-3</v>
      </c>
    </row>
    <row r="601" spans="1:8" x14ac:dyDescent="0.3">
      <c r="A601" s="5">
        <v>45775</v>
      </c>
      <c r="B601" s="6" t="s">
        <v>37</v>
      </c>
      <c r="C601" s="6">
        <v>258.67</v>
      </c>
      <c r="D601" s="6">
        <v>259.85000000000002</v>
      </c>
      <c r="E601" s="6">
        <v>257.48</v>
      </c>
      <c r="F601" s="6">
        <v>258.24</v>
      </c>
      <c r="G601" s="6">
        <v>3169</v>
      </c>
      <c r="H601" s="10">
        <f>(Table7[[#This Row],[close]]-F600)/F600</f>
        <v>-2.4073164279505704E-2</v>
      </c>
    </row>
    <row r="602" spans="1:8" x14ac:dyDescent="0.3">
      <c r="A602" s="5">
        <v>45776</v>
      </c>
      <c r="B602" s="6" t="s">
        <v>37</v>
      </c>
      <c r="C602" s="6">
        <v>255.6</v>
      </c>
      <c r="D602" s="6">
        <v>258.36</v>
      </c>
      <c r="E602" s="6">
        <v>252.83</v>
      </c>
      <c r="F602" s="6">
        <v>257.76</v>
      </c>
      <c r="G602" s="6">
        <v>9036</v>
      </c>
      <c r="H602" s="10">
        <f>(Table7[[#This Row],[close]]-F601)/F601</f>
        <v>-1.8587360594796243E-3</v>
      </c>
    </row>
    <row r="603" spans="1:8" x14ac:dyDescent="0.3">
      <c r="A603" s="5">
        <v>45777</v>
      </c>
      <c r="B603" s="6" t="s">
        <v>37</v>
      </c>
      <c r="C603" s="6">
        <v>262.18</v>
      </c>
      <c r="D603" s="6">
        <v>264.58</v>
      </c>
      <c r="E603" s="6">
        <v>259.77</v>
      </c>
      <c r="F603" s="6">
        <v>262.10000000000002</v>
      </c>
      <c r="G603" s="6">
        <v>1785</v>
      </c>
      <c r="H603" s="10">
        <f>(Table7[[#This Row],[close]]-F602)/F602</f>
        <v>1.6837368094351459E-2</v>
      </c>
    </row>
    <row r="604" spans="1:8" x14ac:dyDescent="0.3">
      <c r="A604" s="5">
        <v>45778</v>
      </c>
      <c r="B604" s="6" t="s">
        <v>37</v>
      </c>
      <c r="C604" s="6">
        <v>261.45</v>
      </c>
      <c r="D604" s="6">
        <v>266.19</v>
      </c>
      <c r="E604" s="6">
        <v>256.70999999999998</v>
      </c>
      <c r="F604" s="6">
        <v>261.86</v>
      </c>
      <c r="G604" s="6">
        <v>21538</v>
      </c>
      <c r="H604" s="10">
        <f>(Table7[[#This Row],[close]]-F603)/F603</f>
        <v>-9.1568103777187743E-4</v>
      </c>
    </row>
    <row r="605" spans="1:8" x14ac:dyDescent="0.3">
      <c r="A605" s="5">
        <v>45779</v>
      </c>
      <c r="B605" s="6" t="s">
        <v>37</v>
      </c>
      <c r="C605" s="6">
        <v>256.08999999999997</v>
      </c>
      <c r="D605" s="6">
        <v>259.52999999999997</v>
      </c>
      <c r="E605" s="6">
        <v>252.65</v>
      </c>
      <c r="F605" s="6">
        <v>254.63</v>
      </c>
      <c r="G605" s="6">
        <v>37575</v>
      </c>
      <c r="H605" s="10">
        <f>(Table7[[#This Row],[close]]-F604)/F604</f>
        <v>-2.7610173375085992E-2</v>
      </c>
    </row>
    <row r="606" spans="1:8" x14ac:dyDescent="0.3">
      <c r="A606" s="5">
        <v>45782</v>
      </c>
      <c r="B606" s="6" t="s">
        <v>37</v>
      </c>
      <c r="C606" s="6">
        <v>252.59</v>
      </c>
      <c r="D606" s="6">
        <v>254.82</v>
      </c>
      <c r="E606" s="6">
        <v>250.36</v>
      </c>
      <c r="F606" s="6">
        <v>253.1</v>
      </c>
      <c r="G606" s="6">
        <v>4236</v>
      </c>
      <c r="H606" s="10">
        <f>(Table7[[#This Row],[close]]-F605)/F605</f>
        <v>-6.0087185327730476E-3</v>
      </c>
    </row>
    <row r="607" spans="1:8" x14ac:dyDescent="0.3">
      <c r="A607" s="5">
        <v>45783</v>
      </c>
      <c r="B607" s="6" t="s">
        <v>37</v>
      </c>
      <c r="C607" s="6">
        <v>256.20999999999998</v>
      </c>
      <c r="D607" s="6">
        <v>258.8</v>
      </c>
      <c r="E607" s="6">
        <v>253.62</v>
      </c>
      <c r="F607" s="6">
        <v>256.35000000000002</v>
      </c>
      <c r="G607" s="6">
        <v>9556</v>
      </c>
      <c r="H607" s="10">
        <f>(Table7[[#This Row],[close]]-F606)/F606</f>
        <v>1.2840774397471468E-2</v>
      </c>
    </row>
    <row r="608" spans="1:8" x14ac:dyDescent="0.3">
      <c r="A608" s="5">
        <v>45784</v>
      </c>
      <c r="B608" s="6" t="s">
        <v>37</v>
      </c>
      <c r="C608" s="6">
        <v>257.99</v>
      </c>
      <c r="D608" s="6">
        <v>262.11</v>
      </c>
      <c r="E608" s="6">
        <v>253.87</v>
      </c>
      <c r="F608" s="6">
        <v>258.18</v>
      </c>
      <c r="G608" s="6">
        <v>47633</v>
      </c>
      <c r="H608" s="10">
        <f>(Table7[[#This Row],[close]]-F607)/F607</f>
        <v>7.1386775892334072E-3</v>
      </c>
    </row>
    <row r="609" spans="1:8" x14ac:dyDescent="0.3">
      <c r="A609" s="5">
        <v>45785</v>
      </c>
      <c r="B609" s="6" t="s">
        <v>37</v>
      </c>
      <c r="C609" s="6">
        <v>255.82</v>
      </c>
      <c r="D609" s="6">
        <v>259.75</v>
      </c>
      <c r="E609" s="6">
        <v>251.9</v>
      </c>
      <c r="F609" s="6">
        <v>255.52</v>
      </c>
      <c r="G609" s="6">
        <v>5857</v>
      </c>
      <c r="H609" s="10">
        <f>(Table7[[#This Row],[close]]-F608)/F608</f>
        <v>-1.0302889456967994E-2</v>
      </c>
    </row>
    <row r="610" spans="1:8" x14ac:dyDescent="0.3">
      <c r="A610" s="5">
        <v>45786</v>
      </c>
      <c r="B610" s="6" t="s">
        <v>37</v>
      </c>
      <c r="C610" s="6">
        <v>253.04</v>
      </c>
      <c r="D610" s="6">
        <v>254.06</v>
      </c>
      <c r="E610" s="6">
        <v>252.03</v>
      </c>
      <c r="F610" s="6">
        <v>253.77</v>
      </c>
      <c r="G610" s="6">
        <v>27132</v>
      </c>
      <c r="H610" s="10">
        <f>(Table7[[#This Row],[close]]-F609)/F609</f>
        <v>-6.8487789605510326E-3</v>
      </c>
    </row>
    <row r="611" spans="1:8" x14ac:dyDescent="0.3">
      <c r="A611" s="5">
        <v>45789</v>
      </c>
      <c r="B611" s="6" t="s">
        <v>37</v>
      </c>
      <c r="C611" s="6">
        <v>253.55</v>
      </c>
      <c r="D611" s="6">
        <v>257.39999999999998</v>
      </c>
      <c r="E611" s="6">
        <v>249.7</v>
      </c>
      <c r="F611" s="6">
        <v>252.52</v>
      </c>
      <c r="G611" s="6">
        <v>10714</v>
      </c>
      <c r="H611" s="10">
        <f>(Table7[[#This Row],[close]]-F610)/F610</f>
        <v>-4.9257201402845095E-3</v>
      </c>
    </row>
    <row r="612" spans="1:8" x14ac:dyDescent="0.3">
      <c r="A612" s="5">
        <v>45790</v>
      </c>
      <c r="B612" s="6" t="s">
        <v>37</v>
      </c>
      <c r="C612" s="6">
        <v>249.43</v>
      </c>
      <c r="D612" s="6">
        <v>251.31</v>
      </c>
      <c r="E612" s="6">
        <v>247.56</v>
      </c>
      <c r="F612" s="6">
        <v>250.48</v>
      </c>
      <c r="G612" s="6">
        <v>16996</v>
      </c>
      <c r="H612" s="10">
        <f>(Table7[[#This Row],[close]]-F611)/F611</f>
        <v>-8.0785680342151927E-3</v>
      </c>
    </row>
    <row r="613" spans="1:8" x14ac:dyDescent="0.3">
      <c r="A613" s="5">
        <v>45791</v>
      </c>
      <c r="B613" s="6" t="s">
        <v>37</v>
      </c>
      <c r="C613" s="6">
        <v>243.77</v>
      </c>
      <c r="D613" s="6">
        <v>246.38</v>
      </c>
      <c r="E613" s="6">
        <v>241.15</v>
      </c>
      <c r="F613" s="6">
        <v>244.21</v>
      </c>
      <c r="G613" s="6">
        <v>27762</v>
      </c>
      <c r="H613" s="10">
        <f>(Table7[[#This Row],[close]]-F612)/F612</f>
        <v>-2.5031938677738671E-2</v>
      </c>
    </row>
    <row r="614" spans="1:8" x14ac:dyDescent="0.3">
      <c r="A614" s="5">
        <v>45792</v>
      </c>
      <c r="B614" s="6" t="s">
        <v>37</v>
      </c>
      <c r="C614" s="6">
        <v>245.21</v>
      </c>
      <c r="D614" s="6">
        <v>247.65</v>
      </c>
      <c r="E614" s="6">
        <v>242.77</v>
      </c>
      <c r="F614" s="6">
        <v>246.63</v>
      </c>
      <c r="G614" s="6">
        <v>20554</v>
      </c>
      <c r="H614" s="10">
        <f>(Table7[[#This Row],[close]]-F613)/F613</f>
        <v>9.9095041153105419E-3</v>
      </c>
    </row>
    <row r="615" spans="1:8" x14ac:dyDescent="0.3">
      <c r="A615" s="5">
        <v>45793</v>
      </c>
      <c r="B615" s="6" t="s">
        <v>37</v>
      </c>
      <c r="C615" s="6">
        <v>251.27</v>
      </c>
      <c r="D615" s="6">
        <v>255.04</v>
      </c>
      <c r="E615" s="6">
        <v>247.5</v>
      </c>
      <c r="F615" s="6">
        <v>250.63</v>
      </c>
      <c r="G615" s="6">
        <v>47840</v>
      </c>
      <c r="H615" s="10">
        <f>(Table7[[#This Row],[close]]-F614)/F614</f>
        <v>1.6218627093216559E-2</v>
      </c>
    </row>
    <row r="616" spans="1:8" x14ac:dyDescent="0.3">
      <c r="A616" s="5">
        <v>45796</v>
      </c>
      <c r="B616" s="6" t="s">
        <v>37</v>
      </c>
      <c r="C616" s="6">
        <v>246.75</v>
      </c>
      <c r="D616" s="6">
        <v>249.84</v>
      </c>
      <c r="E616" s="6">
        <v>243.67</v>
      </c>
      <c r="F616" s="6">
        <v>245.94</v>
      </c>
      <c r="G616" s="6">
        <v>49980</v>
      </c>
      <c r="H616" s="10">
        <f>(Table7[[#This Row],[close]]-F615)/F615</f>
        <v>-1.8712843634042204E-2</v>
      </c>
    </row>
    <row r="617" spans="1:8" x14ac:dyDescent="0.3">
      <c r="A617" s="5">
        <v>45797</v>
      </c>
      <c r="B617" s="6" t="s">
        <v>37</v>
      </c>
      <c r="C617" s="6">
        <v>248.12</v>
      </c>
      <c r="D617" s="6">
        <v>250.62</v>
      </c>
      <c r="E617" s="6">
        <v>245.62</v>
      </c>
      <c r="F617" s="6">
        <v>249.88</v>
      </c>
      <c r="G617" s="6">
        <v>36428</v>
      </c>
      <c r="H617" s="10">
        <f>(Table7[[#This Row],[close]]-F616)/F616</f>
        <v>1.6020167520533455E-2</v>
      </c>
    </row>
    <row r="618" spans="1:8" x14ac:dyDescent="0.3">
      <c r="A618" s="5">
        <v>45798</v>
      </c>
      <c r="B618" s="6" t="s">
        <v>37</v>
      </c>
      <c r="C618" s="6">
        <v>250.4</v>
      </c>
      <c r="D618" s="6">
        <v>252.33</v>
      </c>
      <c r="E618" s="6">
        <v>248.48</v>
      </c>
      <c r="F618" s="6">
        <v>249.62</v>
      </c>
      <c r="G618" s="6">
        <v>39975</v>
      </c>
      <c r="H618" s="10">
        <f>(Table7[[#This Row],[close]]-F617)/F617</f>
        <v>-1.0404994397310346E-3</v>
      </c>
    </row>
    <row r="619" spans="1:8" x14ac:dyDescent="0.3">
      <c r="A619" s="5">
        <v>45799</v>
      </c>
      <c r="B619" s="6" t="s">
        <v>37</v>
      </c>
      <c r="C619" s="6">
        <v>253.54</v>
      </c>
      <c r="D619" s="6">
        <v>256.57</v>
      </c>
      <c r="E619" s="6">
        <v>250.52</v>
      </c>
      <c r="F619" s="6">
        <v>253.56</v>
      </c>
      <c r="G619" s="6">
        <v>27421</v>
      </c>
      <c r="H619" s="10">
        <f>(Table7[[#This Row],[close]]-F618)/F618</f>
        <v>1.5783991667334338E-2</v>
      </c>
    </row>
    <row r="620" spans="1:8" x14ac:dyDescent="0.3">
      <c r="A620" s="5">
        <v>45800</v>
      </c>
      <c r="B620" s="6" t="s">
        <v>37</v>
      </c>
      <c r="C620" s="6">
        <v>252.89</v>
      </c>
      <c r="D620" s="6">
        <v>256.45</v>
      </c>
      <c r="E620" s="6">
        <v>249.33</v>
      </c>
      <c r="F620" s="6">
        <v>253.74</v>
      </c>
      <c r="G620" s="6">
        <v>29308</v>
      </c>
      <c r="H620" s="10">
        <f>(Table7[[#This Row],[close]]-F619)/F619</f>
        <v>7.0989115002368991E-4</v>
      </c>
    </row>
    <row r="621" spans="1:8" x14ac:dyDescent="0.3">
      <c r="A621" s="5">
        <v>45803</v>
      </c>
      <c r="B621" s="6" t="s">
        <v>37</v>
      </c>
      <c r="C621" s="6">
        <v>254.74</v>
      </c>
      <c r="D621" s="6">
        <v>258.02999999999997</v>
      </c>
      <c r="E621" s="6">
        <v>251.44</v>
      </c>
      <c r="F621" s="6">
        <v>254.24</v>
      </c>
      <c r="G621" s="6">
        <v>8684</v>
      </c>
      <c r="H621" s="10">
        <f>(Table7[[#This Row],[close]]-F620)/F620</f>
        <v>1.9705210057539215E-3</v>
      </c>
    </row>
    <row r="622" spans="1:8" x14ac:dyDescent="0.3">
      <c r="A622" s="5">
        <v>45804</v>
      </c>
      <c r="B622" s="6" t="s">
        <v>37</v>
      </c>
      <c r="C622" s="6">
        <v>256.82</v>
      </c>
      <c r="D622" s="6">
        <v>259.55</v>
      </c>
      <c r="E622" s="6">
        <v>254.08</v>
      </c>
      <c r="F622" s="6">
        <v>255.49</v>
      </c>
      <c r="G622" s="6">
        <v>1557</v>
      </c>
      <c r="H622" s="10">
        <f>(Table7[[#This Row],[close]]-F621)/F621</f>
        <v>4.9166142227816236E-3</v>
      </c>
    </row>
    <row r="623" spans="1:8" x14ac:dyDescent="0.3">
      <c r="A623" s="5">
        <v>45805</v>
      </c>
      <c r="B623" s="6" t="s">
        <v>37</v>
      </c>
      <c r="C623" s="6">
        <v>250.66</v>
      </c>
      <c r="D623" s="6">
        <v>253.2</v>
      </c>
      <c r="E623" s="6">
        <v>248.12</v>
      </c>
      <c r="F623" s="6">
        <v>253.02</v>
      </c>
      <c r="G623" s="6">
        <v>1882</v>
      </c>
      <c r="H623" s="10">
        <f>(Table7[[#This Row],[close]]-F622)/F622</f>
        <v>-9.6676973658460161E-3</v>
      </c>
    </row>
    <row r="624" spans="1:8" x14ac:dyDescent="0.3">
      <c r="A624" s="5">
        <v>45806</v>
      </c>
      <c r="B624" s="6" t="s">
        <v>37</v>
      </c>
      <c r="C624" s="6">
        <v>255.59</v>
      </c>
      <c r="D624" s="6">
        <v>259.3</v>
      </c>
      <c r="E624" s="6">
        <v>251.88</v>
      </c>
      <c r="F624" s="6">
        <v>256.92</v>
      </c>
      <c r="G624" s="6">
        <v>39635</v>
      </c>
      <c r="H624" s="10">
        <f>(Table7[[#This Row],[close]]-F623)/F623</f>
        <v>1.5413801280531205E-2</v>
      </c>
    </row>
    <row r="625" spans="1:8" x14ac:dyDescent="0.3">
      <c r="A625" s="5">
        <v>45807</v>
      </c>
      <c r="B625" s="6" t="s">
        <v>37</v>
      </c>
      <c r="C625" s="6">
        <v>254.04</v>
      </c>
      <c r="D625" s="6">
        <v>257.2</v>
      </c>
      <c r="E625" s="6">
        <v>250.88</v>
      </c>
      <c r="F625" s="6">
        <v>253.38</v>
      </c>
      <c r="G625" s="6">
        <v>13982</v>
      </c>
      <c r="H625" s="10">
        <f>(Table7[[#This Row],[close]]-F624)/F624</f>
        <v>-1.3778608127043516E-2</v>
      </c>
    </row>
    <row r="626" spans="1:8" x14ac:dyDescent="0.3">
      <c r="A626" s="5">
        <v>45810</v>
      </c>
      <c r="B626" s="6" t="s">
        <v>37</v>
      </c>
      <c r="C626" s="6">
        <v>252.38</v>
      </c>
      <c r="D626" s="6">
        <v>254.05</v>
      </c>
      <c r="E626" s="6">
        <v>250.72</v>
      </c>
      <c r="F626" s="6">
        <v>252.16</v>
      </c>
      <c r="G626" s="6">
        <v>29064</v>
      </c>
      <c r="H626" s="10">
        <f>(Table7[[#This Row],[close]]-F625)/F625</f>
        <v>-4.8149025179572138E-3</v>
      </c>
    </row>
    <row r="627" spans="1:8" x14ac:dyDescent="0.3">
      <c r="A627" s="5">
        <v>45811</v>
      </c>
      <c r="B627" s="6" t="s">
        <v>37</v>
      </c>
      <c r="C627" s="6">
        <v>254.2</v>
      </c>
      <c r="D627" s="6">
        <v>256.75</v>
      </c>
      <c r="E627" s="6">
        <v>251.65</v>
      </c>
      <c r="F627" s="6">
        <v>253.89</v>
      </c>
      <c r="G627" s="6">
        <v>13991</v>
      </c>
      <c r="H627" s="10">
        <f>(Table7[[#This Row],[close]]-F626)/F626</f>
        <v>6.860723350253767E-3</v>
      </c>
    </row>
    <row r="628" spans="1:8" x14ac:dyDescent="0.3">
      <c r="A628" s="5">
        <v>45812</v>
      </c>
      <c r="B628" s="6" t="s">
        <v>37</v>
      </c>
      <c r="C628" s="6">
        <v>252.11</v>
      </c>
      <c r="D628" s="6">
        <v>254.81</v>
      </c>
      <c r="E628" s="6">
        <v>249.41</v>
      </c>
      <c r="F628" s="6">
        <v>252.32</v>
      </c>
      <c r="G628" s="6">
        <v>31386</v>
      </c>
      <c r="H628" s="10">
        <f>(Table7[[#This Row],[close]]-F627)/F627</f>
        <v>-6.1837803773287375E-3</v>
      </c>
    </row>
    <row r="629" spans="1:8" x14ac:dyDescent="0.3">
      <c r="A629" s="5">
        <v>45813</v>
      </c>
      <c r="B629" s="6" t="s">
        <v>37</v>
      </c>
      <c r="C629" s="6">
        <v>255.99</v>
      </c>
      <c r="D629" s="6">
        <v>259.43</v>
      </c>
      <c r="E629" s="6">
        <v>252.55</v>
      </c>
      <c r="F629" s="6">
        <v>254.87</v>
      </c>
      <c r="G629" s="6">
        <v>22083</v>
      </c>
      <c r="H629" s="10">
        <f>(Table7[[#This Row],[close]]-F628)/F628</f>
        <v>1.0106214331008289E-2</v>
      </c>
    </row>
    <row r="630" spans="1:8" x14ac:dyDescent="0.3">
      <c r="A630" s="5">
        <v>45814</v>
      </c>
      <c r="B630" s="6" t="s">
        <v>37</v>
      </c>
      <c r="C630" s="6">
        <v>259.55</v>
      </c>
      <c r="D630" s="6">
        <v>263.68</v>
      </c>
      <c r="E630" s="6">
        <v>255.42</v>
      </c>
      <c r="F630" s="6">
        <v>259.39</v>
      </c>
      <c r="G630" s="6">
        <v>42862</v>
      </c>
      <c r="H630" s="10">
        <f>(Table7[[#This Row],[close]]-F629)/F629</f>
        <v>1.773453132969742E-2</v>
      </c>
    </row>
    <row r="631" spans="1:8" x14ac:dyDescent="0.3">
      <c r="A631" s="5">
        <v>45817</v>
      </c>
      <c r="B631" s="6" t="s">
        <v>37</v>
      </c>
      <c r="C631" s="6">
        <v>264.77</v>
      </c>
      <c r="D631" s="6">
        <v>267.8</v>
      </c>
      <c r="E631" s="6">
        <v>261.73</v>
      </c>
      <c r="F631" s="6">
        <v>262.77999999999997</v>
      </c>
      <c r="G631" s="6">
        <v>49456</v>
      </c>
      <c r="H631" s="10">
        <f>(Table7[[#This Row],[close]]-F630)/F630</f>
        <v>1.306912371332737E-2</v>
      </c>
    </row>
    <row r="632" spans="1:8" x14ac:dyDescent="0.3">
      <c r="A632" s="5">
        <v>45818</v>
      </c>
      <c r="B632" s="6" t="s">
        <v>37</v>
      </c>
      <c r="C632" s="6">
        <v>256.64999999999998</v>
      </c>
      <c r="D632" s="6">
        <v>256.81</v>
      </c>
      <c r="E632" s="6">
        <v>256.49</v>
      </c>
      <c r="F632" s="6">
        <v>256.51</v>
      </c>
      <c r="G632" s="6">
        <v>3384</v>
      </c>
      <c r="H632" s="10">
        <f>(Table7[[#This Row],[close]]-F631)/F631</f>
        <v>-2.3860263338153522E-2</v>
      </c>
    </row>
    <row r="633" spans="1:8" x14ac:dyDescent="0.3">
      <c r="A633" s="5">
        <v>45819</v>
      </c>
      <c r="B633" s="6" t="s">
        <v>37</v>
      </c>
      <c r="C633" s="6">
        <v>256.86</v>
      </c>
      <c r="D633" s="6">
        <v>261.33</v>
      </c>
      <c r="E633" s="6">
        <v>252.39</v>
      </c>
      <c r="F633" s="6">
        <v>256.98</v>
      </c>
      <c r="G633" s="6">
        <v>15482</v>
      </c>
      <c r="H633" s="10">
        <f>(Table7[[#This Row],[close]]-F632)/F632</f>
        <v>1.832287240263644E-3</v>
      </c>
    </row>
    <row r="634" spans="1:8" x14ac:dyDescent="0.3">
      <c r="A634" s="5">
        <v>45820</v>
      </c>
      <c r="B634" s="6" t="s">
        <v>37</v>
      </c>
      <c r="C634" s="6">
        <v>260.54000000000002</v>
      </c>
      <c r="D634" s="6">
        <v>262.02</v>
      </c>
      <c r="E634" s="6">
        <v>259.06</v>
      </c>
      <c r="F634" s="6">
        <v>260.39</v>
      </c>
      <c r="G634" s="6">
        <v>47092</v>
      </c>
      <c r="H634" s="10">
        <f>(Table7[[#This Row],[close]]-F633)/F633</f>
        <v>1.326951513736465E-2</v>
      </c>
    </row>
    <row r="635" spans="1:8" x14ac:dyDescent="0.3">
      <c r="A635" s="5">
        <v>45821</v>
      </c>
      <c r="B635" s="6" t="s">
        <v>37</v>
      </c>
      <c r="C635" s="6">
        <v>258.08999999999997</v>
      </c>
      <c r="D635" s="6">
        <v>261.14999999999998</v>
      </c>
      <c r="E635" s="6">
        <v>255.04</v>
      </c>
      <c r="F635" s="6">
        <v>256.17</v>
      </c>
      <c r="G635" s="6">
        <v>25566</v>
      </c>
      <c r="H635" s="10">
        <f>(Table7[[#This Row],[close]]-F634)/F634</f>
        <v>-1.6206459541456931E-2</v>
      </c>
    </row>
    <row r="636" spans="1:8" x14ac:dyDescent="0.3">
      <c r="A636" s="5">
        <v>45824</v>
      </c>
      <c r="B636" s="6" t="s">
        <v>37</v>
      </c>
      <c r="C636" s="6">
        <v>257.39</v>
      </c>
      <c r="D636" s="6">
        <v>258.67</v>
      </c>
      <c r="E636" s="6">
        <v>256.11</v>
      </c>
      <c r="F636" s="6">
        <v>258.58</v>
      </c>
      <c r="G636" s="6">
        <v>37188</v>
      </c>
      <c r="H636" s="10">
        <f>(Table7[[#This Row],[close]]-F635)/F635</f>
        <v>9.4078151227699105E-3</v>
      </c>
    </row>
    <row r="637" spans="1:8" x14ac:dyDescent="0.3">
      <c r="A637" s="5">
        <v>45825</v>
      </c>
      <c r="B637" s="6" t="s">
        <v>37</v>
      </c>
      <c r="C637" s="6">
        <v>258.63</v>
      </c>
      <c r="D637" s="6">
        <v>260.98</v>
      </c>
      <c r="E637" s="6">
        <v>256.27</v>
      </c>
      <c r="F637" s="6">
        <v>260.82</v>
      </c>
      <c r="G637" s="6">
        <v>20337</v>
      </c>
      <c r="H637" s="10">
        <f>(Table7[[#This Row],[close]]-F636)/F636</f>
        <v>8.6626962642122711E-3</v>
      </c>
    </row>
    <row r="638" spans="1:8" x14ac:dyDescent="0.3">
      <c r="A638" s="5">
        <v>45826</v>
      </c>
      <c r="B638" s="6" t="s">
        <v>37</v>
      </c>
      <c r="C638" s="6">
        <v>256.51</v>
      </c>
      <c r="D638" s="6">
        <v>257.62</v>
      </c>
      <c r="E638" s="6">
        <v>255.39</v>
      </c>
      <c r="F638" s="6">
        <v>256.93</v>
      </c>
      <c r="G638" s="6">
        <v>18611</v>
      </c>
      <c r="H638" s="10">
        <f>(Table7[[#This Row],[close]]-F637)/F637</f>
        <v>-1.4914500421746746E-2</v>
      </c>
    </row>
    <row r="639" spans="1:8" x14ac:dyDescent="0.3">
      <c r="A639" s="5">
        <v>45827</v>
      </c>
      <c r="B639" s="6" t="s">
        <v>37</v>
      </c>
      <c r="C639" s="6">
        <v>261.07</v>
      </c>
      <c r="D639" s="6">
        <v>263.88</v>
      </c>
      <c r="E639" s="6">
        <v>258.26</v>
      </c>
      <c r="F639" s="6">
        <v>259.70999999999998</v>
      </c>
      <c r="G639" s="6">
        <v>21536</v>
      </c>
      <c r="H639" s="10">
        <f>(Table7[[#This Row],[close]]-F638)/F638</f>
        <v>1.0820067722725929E-2</v>
      </c>
    </row>
    <row r="640" spans="1:8" x14ac:dyDescent="0.3">
      <c r="A640" s="5">
        <v>45828</v>
      </c>
      <c r="B640" s="6" t="s">
        <v>37</v>
      </c>
      <c r="C640" s="6">
        <v>260.14999999999998</v>
      </c>
      <c r="D640" s="6">
        <v>264.8</v>
      </c>
      <c r="E640" s="6">
        <v>255.5</v>
      </c>
      <c r="F640" s="6">
        <v>260.66000000000003</v>
      </c>
      <c r="G640" s="6">
        <v>11503</v>
      </c>
      <c r="H640" s="10">
        <f>(Table7[[#This Row],[close]]-F639)/F639</f>
        <v>3.6579261483964637E-3</v>
      </c>
    </row>
    <row r="641" spans="1:8" x14ac:dyDescent="0.3">
      <c r="A641" s="5">
        <v>45831</v>
      </c>
      <c r="B641" s="6" t="s">
        <v>37</v>
      </c>
      <c r="C641" s="6">
        <v>265.25</v>
      </c>
      <c r="D641" s="6">
        <v>268.10000000000002</v>
      </c>
      <c r="E641" s="6">
        <v>262.39999999999998</v>
      </c>
      <c r="F641" s="6">
        <v>262.87</v>
      </c>
      <c r="G641" s="6">
        <v>11886</v>
      </c>
      <c r="H641" s="10">
        <f>(Table7[[#This Row],[close]]-F640)/F640</f>
        <v>8.4784777104272967E-3</v>
      </c>
    </row>
    <row r="642" spans="1:8" x14ac:dyDescent="0.3">
      <c r="A642" s="5">
        <v>45832</v>
      </c>
      <c r="B642" s="6" t="s">
        <v>37</v>
      </c>
      <c r="C642" s="6">
        <v>258.98</v>
      </c>
      <c r="D642" s="6">
        <v>259.98</v>
      </c>
      <c r="E642" s="6">
        <v>257.97000000000003</v>
      </c>
      <c r="F642" s="6">
        <v>259.75</v>
      </c>
      <c r="G642" s="6">
        <v>10764</v>
      </c>
      <c r="H642" s="10">
        <f>(Table7[[#This Row],[close]]-F641)/F641</f>
        <v>-1.1868984669228153E-2</v>
      </c>
    </row>
    <row r="643" spans="1:8" x14ac:dyDescent="0.3">
      <c r="A643" s="5">
        <v>45833</v>
      </c>
      <c r="B643" s="6" t="s">
        <v>37</v>
      </c>
      <c r="C643" s="6">
        <v>261.86</v>
      </c>
      <c r="D643" s="6">
        <v>264.16000000000003</v>
      </c>
      <c r="E643" s="6">
        <v>259.56</v>
      </c>
      <c r="F643" s="6">
        <v>260.3</v>
      </c>
      <c r="G643" s="6">
        <v>43727</v>
      </c>
      <c r="H643" s="10">
        <f>(Table7[[#This Row],[close]]-F642)/F642</f>
        <v>2.1174205967276665E-3</v>
      </c>
    </row>
    <row r="644" spans="1:8" x14ac:dyDescent="0.3">
      <c r="A644" s="5">
        <v>45834</v>
      </c>
      <c r="B644" s="6" t="s">
        <v>37</v>
      </c>
      <c r="C644" s="6">
        <v>255.13</v>
      </c>
      <c r="D644" s="6">
        <v>259.61</v>
      </c>
      <c r="E644" s="6">
        <v>250.64</v>
      </c>
      <c r="F644" s="6">
        <v>254.83</v>
      </c>
      <c r="G644" s="6">
        <v>42160</v>
      </c>
      <c r="H644" s="10">
        <f>(Table7[[#This Row],[close]]-F643)/F643</f>
        <v>-2.1014214368036875E-2</v>
      </c>
    </row>
    <row r="645" spans="1:8" x14ac:dyDescent="0.3">
      <c r="A645" s="5">
        <v>45835</v>
      </c>
      <c r="B645" s="6" t="s">
        <v>37</v>
      </c>
      <c r="C645" s="6">
        <v>247.49</v>
      </c>
      <c r="D645" s="6">
        <v>251.48</v>
      </c>
      <c r="E645" s="6">
        <v>243.5</v>
      </c>
      <c r="F645" s="6">
        <v>247.69</v>
      </c>
      <c r="G645" s="6">
        <v>11433</v>
      </c>
      <c r="H645" s="10">
        <f>(Table7[[#This Row],[close]]-F644)/F644</f>
        <v>-2.8018679119412998E-2</v>
      </c>
    </row>
    <row r="646" spans="1:8" x14ac:dyDescent="0.3">
      <c r="A646" s="5">
        <v>45838</v>
      </c>
      <c r="B646" s="6" t="s">
        <v>37</v>
      </c>
      <c r="C646" s="6">
        <v>247.45</v>
      </c>
      <c r="D646" s="6">
        <v>248.7</v>
      </c>
      <c r="E646" s="6">
        <v>246.2</v>
      </c>
      <c r="F646" s="6">
        <v>248.18</v>
      </c>
      <c r="G646" s="6">
        <v>22281</v>
      </c>
      <c r="H646" s="10">
        <f>(Table7[[#This Row],[close]]-F645)/F645</f>
        <v>1.9782793007388634E-3</v>
      </c>
    </row>
    <row r="647" spans="1:8" x14ac:dyDescent="0.3">
      <c r="A647" s="5">
        <v>45658</v>
      </c>
      <c r="B647" s="6" t="s">
        <v>39</v>
      </c>
      <c r="C647" s="6">
        <v>251.68</v>
      </c>
      <c r="D647" s="6">
        <v>254.93</v>
      </c>
      <c r="E647" s="6">
        <v>248.43</v>
      </c>
      <c r="F647" s="6">
        <v>251.05</v>
      </c>
      <c r="G647" s="6">
        <v>3745</v>
      </c>
      <c r="H647" s="10">
        <f>(Table7[[#This Row],[close]]-F646)/F646</f>
        <v>1.156418728342334E-2</v>
      </c>
    </row>
    <row r="648" spans="1:8" x14ac:dyDescent="0.3">
      <c r="A648" s="5">
        <v>45659</v>
      </c>
      <c r="B648" s="6" t="s">
        <v>39</v>
      </c>
      <c r="C648" s="6">
        <v>246.67</v>
      </c>
      <c r="D648" s="6">
        <v>250.19</v>
      </c>
      <c r="E648" s="6">
        <v>243.14</v>
      </c>
      <c r="F648" s="6">
        <v>245.97</v>
      </c>
      <c r="G648" s="6">
        <v>6818</v>
      </c>
      <c r="H648" s="10">
        <f>(Table7[[#This Row],[close]]-F647)/F647</f>
        <v>-2.0235012945628409E-2</v>
      </c>
    </row>
    <row r="649" spans="1:8" x14ac:dyDescent="0.3">
      <c r="A649" s="5">
        <v>45660</v>
      </c>
      <c r="B649" s="6" t="s">
        <v>39</v>
      </c>
      <c r="C649" s="6">
        <v>241.06</v>
      </c>
      <c r="D649" s="6">
        <v>242.87</v>
      </c>
      <c r="E649" s="6">
        <v>239.25</v>
      </c>
      <c r="F649" s="6">
        <v>241.02</v>
      </c>
      <c r="G649" s="6">
        <v>31116</v>
      </c>
      <c r="H649" s="10">
        <f>(Table7[[#This Row],[close]]-F648)/F648</f>
        <v>-2.0124405415294502E-2</v>
      </c>
    </row>
    <row r="650" spans="1:8" x14ac:dyDescent="0.3">
      <c r="A650" s="5">
        <v>45663</v>
      </c>
      <c r="B650" s="6" t="s">
        <v>39</v>
      </c>
      <c r="C650" s="6">
        <v>241.1</v>
      </c>
      <c r="D650" s="6">
        <v>241.78</v>
      </c>
      <c r="E650" s="6">
        <v>240.42</v>
      </c>
      <c r="F650" s="6">
        <v>240.5</v>
      </c>
      <c r="G650" s="6">
        <v>18908</v>
      </c>
      <c r="H650" s="10">
        <f>(Table7[[#This Row],[close]]-F649)/F649</f>
        <v>-2.1574973031284134E-3</v>
      </c>
    </row>
    <row r="651" spans="1:8" x14ac:dyDescent="0.3">
      <c r="A651" s="5">
        <v>45664</v>
      </c>
      <c r="B651" s="6" t="s">
        <v>39</v>
      </c>
      <c r="C651" s="6">
        <v>237.95</v>
      </c>
      <c r="D651" s="6">
        <v>240.54</v>
      </c>
      <c r="E651" s="6">
        <v>235.37</v>
      </c>
      <c r="F651" s="6">
        <v>238.9</v>
      </c>
      <c r="G651" s="6">
        <v>21093</v>
      </c>
      <c r="H651" s="10">
        <f>(Table7[[#This Row],[close]]-F650)/F650</f>
        <v>-6.6528066528066289E-3</v>
      </c>
    </row>
    <row r="652" spans="1:8" x14ac:dyDescent="0.3">
      <c r="A652" s="5">
        <v>45665</v>
      </c>
      <c r="B652" s="6" t="s">
        <v>39</v>
      </c>
      <c r="C652" s="6">
        <v>239.29</v>
      </c>
      <c r="D652" s="6">
        <v>242.01</v>
      </c>
      <c r="E652" s="6">
        <v>236.56</v>
      </c>
      <c r="F652" s="6">
        <v>239.28</v>
      </c>
      <c r="G652" s="6">
        <v>21963</v>
      </c>
      <c r="H652" s="10">
        <f>(Table7[[#This Row],[close]]-F651)/F651</f>
        <v>1.590623691921287E-3</v>
      </c>
    </row>
    <row r="653" spans="1:8" x14ac:dyDescent="0.3">
      <c r="A653" s="5">
        <v>45666</v>
      </c>
      <c r="B653" s="6" t="s">
        <v>39</v>
      </c>
      <c r="C653" s="6">
        <v>238.14</v>
      </c>
      <c r="D653" s="6">
        <v>241.55</v>
      </c>
      <c r="E653" s="6">
        <v>234.73</v>
      </c>
      <c r="F653" s="6">
        <v>238.93</v>
      </c>
      <c r="G653" s="6">
        <v>21936</v>
      </c>
      <c r="H653" s="10">
        <f>(Table7[[#This Row],[close]]-F652)/F652</f>
        <v>-1.4627214978267899E-3</v>
      </c>
    </row>
    <row r="654" spans="1:8" x14ac:dyDescent="0.3">
      <c r="A654" s="5">
        <v>45667</v>
      </c>
      <c r="B654" s="6" t="s">
        <v>39</v>
      </c>
      <c r="C654" s="6">
        <v>238.4</v>
      </c>
      <c r="D654" s="6">
        <v>241.69</v>
      </c>
      <c r="E654" s="6">
        <v>235.11</v>
      </c>
      <c r="F654" s="6">
        <v>239.08</v>
      </c>
      <c r="G654" s="6">
        <v>28606</v>
      </c>
      <c r="H654" s="10">
        <f>(Table7[[#This Row],[close]]-F653)/F653</f>
        <v>6.2779893692715722E-4</v>
      </c>
    </row>
    <row r="655" spans="1:8" x14ac:dyDescent="0.3">
      <c r="A655" s="5">
        <v>45670</v>
      </c>
      <c r="B655" s="6" t="s">
        <v>39</v>
      </c>
      <c r="C655" s="6">
        <v>241.75</v>
      </c>
      <c r="D655" s="6">
        <v>244.74</v>
      </c>
      <c r="E655" s="6">
        <v>238.77</v>
      </c>
      <c r="F655" s="6">
        <v>240.98</v>
      </c>
      <c r="G655" s="6">
        <v>45245</v>
      </c>
      <c r="H655" s="10">
        <f>(Table7[[#This Row],[close]]-F654)/F654</f>
        <v>7.9471306675588799E-3</v>
      </c>
    </row>
    <row r="656" spans="1:8" x14ac:dyDescent="0.3">
      <c r="A656" s="5">
        <v>45671</v>
      </c>
      <c r="B656" s="6" t="s">
        <v>39</v>
      </c>
      <c r="C656" s="6">
        <v>237.84</v>
      </c>
      <c r="D656" s="6">
        <v>240.36</v>
      </c>
      <c r="E656" s="6">
        <v>235.32</v>
      </c>
      <c r="F656" s="6">
        <v>239.63</v>
      </c>
      <c r="G656" s="6">
        <v>29572</v>
      </c>
      <c r="H656" s="10">
        <f>(Table7[[#This Row],[close]]-F655)/F655</f>
        <v>-5.6021246576479144E-3</v>
      </c>
    </row>
    <row r="657" spans="1:8" x14ac:dyDescent="0.3">
      <c r="A657" s="5">
        <v>45672</v>
      </c>
      <c r="B657" s="6" t="s">
        <v>39</v>
      </c>
      <c r="C657" s="6">
        <v>238.98</v>
      </c>
      <c r="D657" s="6">
        <v>240.12</v>
      </c>
      <c r="E657" s="6">
        <v>237.85</v>
      </c>
      <c r="F657" s="6">
        <v>239.03</v>
      </c>
      <c r="G657" s="6">
        <v>32131</v>
      </c>
      <c r="H657" s="10">
        <f>(Table7[[#This Row],[close]]-F656)/F656</f>
        <v>-2.5038601176814021E-3</v>
      </c>
    </row>
    <row r="658" spans="1:8" x14ac:dyDescent="0.3">
      <c r="A658" s="5">
        <v>45673</v>
      </c>
      <c r="B658" s="6" t="s">
        <v>39</v>
      </c>
      <c r="C658" s="6">
        <v>244.51</v>
      </c>
      <c r="D658" s="6">
        <v>245.81</v>
      </c>
      <c r="E658" s="6">
        <v>243.22</v>
      </c>
      <c r="F658" s="6">
        <v>243.51</v>
      </c>
      <c r="G658" s="6">
        <v>42475</v>
      </c>
      <c r="H658" s="10">
        <f>(Table7[[#This Row],[close]]-F657)/F657</f>
        <v>1.8742417269798726E-2</v>
      </c>
    </row>
    <row r="659" spans="1:8" x14ac:dyDescent="0.3">
      <c r="A659" s="5">
        <v>45674</v>
      </c>
      <c r="B659" s="6" t="s">
        <v>39</v>
      </c>
      <c r="C659" s="6">
        <v>243.61</v>
      </c>
      <c r="D659" s="6">
        <v>248.24</v>
      </c>
      <c r="E659" s="6">
        <v>238.98</v>
      </c>
      <c r="F659" s="6">
        <v>243.57</v>
      </c>
      <c r="G659" s="6">
        <v>12908</v>
      </c>
      <c r="H659" s="10">
        <f>(Table7[[#This Row],[close]]-F658)/F658</f>
        <v>2.4639645189110214E-4</v>
      </c>
    </row>
    <row r="660" spans="1:8" x14ac:dyDescent="0.3">
      <c r="A660" s="5">
        <v>45677</v>
      </c>
      <c r="B660" s="6" t="s">
        <v>39</v>
      </c>
      <c r="C660" s="6">
        <v>242.79</v>
      </c>
      <c r="D660" s="6">
        <v>245.66</v>
      </c>
      <c r="E660" s="6">
        <v>239.92</v>
      </c>
      <c r="F660" s="6">
        <v>243.08</v>
      </c>
      <c r="G660" s="6">
        <v>17616</v>
      </c>
      <c r="H660" s="10">
        <f>(Table7[[#This Row],[close]]-F659)/F659</f>
        <v>-2.0117420043518526E-3</v>
      </c>
    </row>
    <row r="661" spans="1:8" x14ac:dyDescent="0.3">
      <c r="A661" s="5">
        <v>45678</v>
      </c>
      <c r="B661" s="6" t="s">
        <v>39</v>
      </c>
      <c r="C661" s="6">
        <v>242.13</v>
      </c>
      <c r="D661" s="6">
        <v>244.39</v>
      </c>
      <c r="E661" s="6">
        <v>239.86</v>
      </c>
      <c r="F661" s="6">
        <v>243.39</v>
      </c>
      <c r="G661" s="6">
        <v>44369</v>
      </c>
      <c r="H661" s="10">
        <f>(Table7[[#This Row],[close]]-F660)/F660</f>
        <v>1.2753003126541626E-3</v>
      </c>
    </row>
    <row r="662" spans="1:8" x14ac:dyDescent="0.3">
      <c r="A662" s="5">
        <v>45679</v>
      </c>
      <c r="B662" s="6" t="s">
        <v>39</v>
      </c>
      <c r="C662" s="6">
        <v>243.08</v>
      </c>
      <c r="D662" s="6">
        <v>247.31</v>
      </c>
      <c r="E662" s="6">
        <v>238.84</v>
      </c>
      <c r="F662" s="6">
        <v>242.96</v>
      </c>
      <c r="G662" s="6">
        <v>32226</v>
      </c>
      <c r="H662" s="10">
        <f>(Table7[[#This Row],[close]]-F661)/F661</f>
        <v>-1.7667118616211776E-3</v>
      </c>
    </row>
    <row r="663" spans="1:8" x14ac:dyDescent="0.3">
      <c r="A663" s="5">
        <v>45680</v>
      </c>
      <c r="B663" s="6" t="s">
        <v>39</v>
      </c>
      <c r="C663" s="6">
        <v>241.89</v>
      </c>
      <c r="D663" s="6">
        <v>243.64</v>
      </c>
      <c r="E663" s="6">
        <v>240.14</v>
      </c>
      <c r="F663" s="6">
        <v>240.85</v>
      </c>
      <c r="G663" s="6">
        <v>14379</v>
      </c>
      <c r="H663" s="10">
        <f>(Table7[[#This Row],[close]]-F662)/F662</f>
        <v>-8.6845571287455289E-3</v>
      </c>
    </row>
    <row r="664" spans="1:8" x14ac:dyDescent="0.3">
      <c r="A664" s="5">
        <v>45681</v>
      </c>
      <c r="B664" s="6" t="s">
        <v>39</v>
      </c>
      <c r="C664" s="6">
        <v>237.22</v>
      </c>
      <c r="D664" s="6">
        <v>239.75</v>
      </c>
      <c r="E664" s="6">
        <v>234.69</v>
      </c>
      <c r="F664" s="6">
        <v>237.9</v>
      </c>
      <c r="G664" s="6">
        <v>9682</v>
      </c>
      <c r="H664" s="10">
        <f>(Table7[[#This Row],[close]]-F663)/F663</f>
        <v>-1.2248287315756648E-2</v>
      </c>
    </row>
    <row r="665" spans="1:8" x14ac:dyDescent="0.3">
      <c r="A665" s="5">
        <v>45684</v>
      </c>
      <c r="B665" s="6" t="s">
        <v>39</v>
      </c>
      <c r="C665" s="6">
        <v>235.35</v>
      </c>
      <c r="D665" s="6">
        <v>239.5</v>
      </c>
      <c r="E665" s="6">
        <v>231.21</v>
      </c>
      <c r="F665" s="6">
        <v>235.68</v>
      </c>
      <c r="G665" s="6">
        <v>33983</v>
      </c>
      <c r="H665" s="10">
        <f>(Table7[[#This Row],[close]]-F664)/F664</f>
        <v>-9.3316519546027699E-3</v>
      </c>
    </row>
    <row r="666" spans="1:8" x14ac:dyDescent="0.3">
      <c r="A666" s="5">
        <v>45685</v>
      </c>
      <c r="B666" s="6" t="s">
        <v>39</v>
      </c>
      <c r="C666" s="6">
        <v>238.78</v>
      </c>
      <c r="D666" s="6">
        <v>241.8</v>
      </c>
      <c r="E666" s="6">
        <v>235.77</v>
      </c>
      <c r="F666" s="6">
        <v>238.34</v>
      </c>
      <c r="G666" s="6">
        <v>25734</v>
      </c>
      <c r="H666" s="10">
        <f>(Table7[[#This Row],[close]]-F665)/F665</f>
        <v>1.128649015614391E-2</v>
      </c>
    </row>
    <row r="667" spans="1:8" x14ac:dyDescent="0.3">
      <c r="A667" s="5">
        <v>45686</v>
      </c>
      <c r="B667" s="6" t="s">
        <v>39</v>
      </c>
      <c r="C667" s="6">
        <v>238.04</v>
      </c>
      <c r="D667" s="6">
        <v>239.86</v>
      </c>
      <c r="E667" s="6">
        <v>236.22</v>
      </c>
      <c r="F667" s="6">
        <v>236.51</v>
      </c>
      <c r="G667" s="6">
        <v>43736</v>
      </c>
      <c r="H667" s="10">
        <f>(Table7[[#This Row],[close]]-F666)/F666</f>
        <v>-7.6781069061005814E-3</v>
      </c>
    </row>
    <row r="668" spans="1:8" x14ac:dyDescent="0.3">
      <c r="A668" s="5">
        <v>45687</v>
      </c>
      <c r="B668" s="6" t="s">
        <v>39</v>
      </c>
      <c r="C668" s="6">
        <v>237.13</v>
      </c>
      <c r="D668" s="6">
        <v>240.5</v>
      </c>
      <c r="E668" s="6">
        <v>233.76</v>
      </c>
      <c r="F668" s="6">
        <v>236.11</v>
      </c>
      <c r="G668" s="6">
        <v>48464</v>
      </c>
      <c r="H668" s="10">
        <f>(Table7[[#This Row],[close]]-F667)/F667</f>
        <v>-1.6912604118218143E-3</v>
      </c>
    </row>
    <row r="669" spans="1:8" x14ac:dyDescent="0.3">
      <c r="A669" s="5">
        <v>45688</v>
      </c>
      <c r="B669" s="6" t="s">
        <v>39</v>
      </c>
      <c r="C669" s="6">
        <v>239.01</v>
      </c>
      <c r="D669" s="6">
        <v>240.39</v>
      </c>
      <c r="E669" s="6">
        <v>237.62</v>
      </c>
      <c r="F669" s="6">
        <v>238.26</v>
      </c>
      <c r="G669" s="6">
        <v>12185</v>
      </c>
      <c r="H669" s="10">
        <f>(Table7[[#This Row],[close]]-F668)/F668</f>
        <v>9.1059252043538055E-3</v>
      </c>
    </row>
    <row r="670" spans="1:8" x14ac:dyDescent="0.3">
      <c r="A670" s="5">
        <v>45691</v>
      </c>
      <c r="B670" s="6" t="s">
        <v>39</v>
      </c>
      <c r="C670" s="6">
        <v>236.39</v>
      </c>
      <c r="D670" s="6">
        <v>238.92</v>
      </c>
      <c r="E670" s="6">
        <v>233.87</v>
      </c>
      <c r="F670" s="6">
        <v>237.48</v>
      </c>
      <c r="G670" s="6">
        <v>20167</v>
      </c>
      <c r="H670" s="10">
        <f>(Table7[[#This Row],[close]]-F669)/F669</f>
        <v>-3.2737345756736389E-3</v>
      </c>
    </row>
    <row r="671" spans="1:8" x14ac:dyDescent="0.3">
      <c r="A671" s="5">
        <v>45692</v>
      </c>
      <c r="B671" s="6" t="s">
        <v>39</v>
      </c>
      <c r="C671" s="6">
        <v>239.01</v>
      </c>
      <c r="D671" s="6">
        <v>241.84</v>
      </c>
      <c r="E671" s="6">
        <v>236.19</v>
      </c>
      <c r="F671" s="6">
        <v>239.44</v>
      </c>
      <c r="G671" s="6">
        <v>28076</v>
      </c>
      <c r="H671" s="10">
        <f>(Table7[[#This Row],[close]]-F670)/F670</f>
        <v>8.2533265959239006E-3</v>
      </c>
    </row>
    <row r="672" spans="1:8" x14ac:dyDescent="0.3">
      <c r="A672" s="5">
        <v>45693</v>
      </c>
      <c r="B672" s="6" t="s">
        <v>39</v>
      </c>
      <c r="C672" s="6">
        <v>234.17</v>
      </c>
      <c r="D672" s="6">
        <v>237.81</v>
      </c>
      <c r="E672" s="6">
        <v>230.53</v>
      </c>
      <c r="F672" s="6">
        <v>234.89</v>
      </c>
      <c r="G672" s="6">
        <v>23973</v>
      </c>
      <c r="H672" s="10">
        <f>(Table7[[#This Row],[close]]-F671)/F671</f>
        <v>-1.900267290344141E-2</v>
      </c>
    </row>
    <row r="673" spans="1:8" x14ac:dyDescent="0.3">
      <c r="A673" s="5">
        <v>45694</v>
      </c>
      <c r="B673" s="6" t="s">
        <v>39</v>
      </c>
      <c r="C673" s="6">
        <v>234.35</v>
      </c>
      <c r="D673" s="6">
        <v>236.71</v>
      </c>
      <c r="E673" s="6">
        <v>231.99</v>
      </c>
      <c r="F673" s="6">
        <v>234.56</v>
      </c>
      <c r="G673" s="6">
        <v>2932</v>
      </c>
      <c r="H673" s="10">
        <f>(Table7[[#This Row],[close]]-F672)/F672</f>
        <v>-1.4049129379708975E-3</v>
      </c>
    </row>
    <row r="674" spans="1:8" x14ac:dyDescent="0.3">
      <c r="A674" s="5">
        <v>45695</v>
      </c>
      <c r="B674" s="6" t="s">
        <v>39</v>
      </c>
      <c r="C674" s="6">
        <v>234.61</v>
      </c>
      <c r="D674" s="6">
        <v>237</v>
      </c>
      <c r="E674" s="6">
        <v>232.21</v>
      </c>
      <c r="F674" s="6">
        <v>234.85</v>
      </c>
      <c r="G674" s="6">
        <v>39405</v>
      </c>
      <c r="H674" s="10">
        <f>(Table7[[#This Row],[close]]-F673)/F673</f>
        <v>1.2363574351977832E-3</v>
      </c>
    </row>
    <row r="675" spans="1:8" x14ac:dyDescent="0.3">
      <c r="A675" s="5">
        <v>45698</v>
      </c>
      <c r="B675" s="6" t="s">
        <v>39</v>
      </c>
      <c r="C675" s="6">
        <v>235.53</v>
      </c>
      <c r="D675" s="6">
        <v>237.06</v>
      </c>
      <c r="E675" s="6">
        <v>233.99</v>
      </c>
      <c r="F675" s="6">
        <v>234.97</v>
      </c>
      <c r="G675" s="6">
        <v>28882</v>
      </c>
      <c r="H675" s="10">
        <f>(Table7[[#This Row],[close]]-F674)/F674</f>
        <v>5.1096444539069431E-4</v>
      </c>
    </row>
    <row r="676" spans="1:8" x14ac:dyDescent="0.3">
      <c r="A676" s="5">
        <v>45699</v>
      </c>
      <c r="B676" s="6" t="s">
        <v>39</v>
      </c>
      <c r="C676" s="6">
        <v>231.42</v>
      </c>
      <c r="D676" s="6">
        <v>233.29</v>
      </c>
      <c r="E676" s="6">
        <v>229.55</v>
      </c>
      <c r="F676" s="6">
        <v>230.18</v>
      </c>
      <c r="G676" s="6">
        <v>7474</v>
      </c>
      <c r="H676" s="10">
        <f>(Table7[[#This Row],[close]]-F675)/F675</f>
        <v>-2.0385581138017587E-2</v>
      </c>
    </row>
    <row r="677" spans="1:8" x14ac:dyDescent="0.3">
      <c r="A677" s="5">
        <v>45700</v>
      </c>
      <c r="B677" s="6" t="s">
        <v>39</v>
      </c>
      <c r="C677" s="6">
        <v>233.61</v>
      </c>
      <c r="D677" s="6">
        <v>237.46</v>
      </c>
      <c r="E677" s="6">
        <v>229.76</v>
      </c>
      <c r="F677" s="6">
        <v>233.75</v>
      </c>
      <c r="G677" s="6">
        <v>14979</v>
      </c>
      <c r="H677" s="10">
        <f>(Table7[[#This Row],[close]]-F676)/F676</f>
        <v>1.5509601181683869E-2</v>
      </c>
    </row>
    <row r="678" spans="1:8" x14ac:dyDescent="0.3">
      <c r="A678" s="5">
        <v>45701</v>
      </c>
      <c r="B678" s="6" t="s">
        <v>39</v>
      </c>
      <c r="C678" s="6">
        <v>232.58</v>
      </c>
      <c r="D678" s="6">
        <v>234.36</v>
      </c>
      <c r="E678" s="6">
        <v>230.8</v>
      </c>
      <c r="F678" s="6">
        <v>231.31</v>
      </c>
      <c r="G678" s="6">
        <v>13867</v>
      </c>
      <c r="H678" s="10">
        <f>(Table7[[#This Row],[close]]-F677)/F677</f>
        <v>-1.0438502673796781E-2</v>
      </c>
    </row>
    <row r="679" spans="1:8" x14ac:dyDescent="0.3">
      <c r="A679" s="5">
        <v>45702</v>
      </c>
      <c r="B679" s="6" t="s">
        <v>39</v>
      </c>
      <c r="C679" s="6">
        <v>232.24</v>
      </c>
      <c r="D679" s="6">
        <v>236.76</v>
      </c>
      <c r="E679" s="6">
        <v>227.72</v>
      </c>
      <c r="F679" s="6">
        <v>232.34</v>
      </c>
      <c r="G679" s="6">
        <v>31527</v>
      </c>
      <c r="H679" s="10">
        <f>(Table7[[#This Row],[close]]-F678)/F678</f>
        <v>4.4528987073624189E-3</v>
      </c>
    </row>
    <row r="680" spans="1:8" x14ac:dyDescent="0.3">
      <c r="A680" s="5">
        <v>45705</v>
      </c>
      <c r="B680" s="6" t="s">
        <v>39</v>
      </c>
      <c r="C680" s="6">
        <v>233.42</v>
      </c>
      <c r="D680" s="6">
        <v>236.85</v>
      </c>
      <c r="E680" s="6">
        <v>229.99</v>
      </c>
      <c r="F680" s="6">
        <v>232.42</v>
      </c>
      <c r="G680" s="6">
        <v>6451</v>
      </c>
      <c r="H680" s="10">
        <f>(Table7[[#This Row],[close]]-F679)/F679</f>
        <v>3.4432297495043504E-4</v>
      </c>
    </row>
    <row r="681" spans="1:8" x14ac:dyDescent="0.3">
      <c r="A681" s="5">
        <v>45706</v>
      </c>
      <c r="B681" s="6" t="s">
        <v>39</v>
      </c>
      <c r="C681" s="6">
        <v>235.01</v>
      </c>
      <c r="D681" s="6">
        <v>236.65</v>
      </c>
      <c r="E681" s="6">
        <v>233.37</v>
      </c>
      <c r="F681" s="6">
        <v>235.43</v>
      </c>
      <c r="G681" s="6">
        <v>40954</v>
      </c>
      <c r="H681" s="10">
        <f>(Table7[[#This Row],[close]]-F680)/F680</f>
        <v>1.2950692711470698E-2</v>
      </c>
    </row>
    <row r="682" spans="1:8" x14ac:dyDescent="0.3">
      <c r="A682" s="5">
        <v>45707</v>
      </c>
      <c r="B682" s="6" t="s">
        <v>39</v>
      </c>
      <c r="C682" s="6">
        <v>241.98</v>
      </c>
      <c r="D682" s="6">
        <v>242.92</v>
      </c>
      <c r="E682" s="6">
        <v>241.03</v>
      </c>
      <c r="F682" s="6">
        <v>242.07</v>
      </c>
      <c r="G682" s="6">
        <v>31873</v>
      </c>
      <c r="H682" s="10">
        <f>(Table7[[#This Row],[close]]-F681)/F681</f>
        <v>2.8203712356114286E-2</v>
      </c>
    </row>
    <row r="683" spans="1:8" x14ac:dyDescent="0.3">
      <c r="A683" s="5">
        <v>45708</v>
      </c>
      <c r="B683" s="6" t="s">
        <v>39</v>
      </c>
      <c r="C683" s="6">
        <v>236.28</v>
      </c>
      <c r="D683" s="6">
        <v>238.29</v>
      </c>
      <c r="E683" s="6">
        <v>234.27</v>
      </c>
      <c r="F683" s="6">
        <v>238.22</v>
      </c>
      <c r="G683" s="6">
        <v>26372</v>
      </c>
      <c r="H683" s="10">
        <f>(Table7[[#This Row],[close]]-F682)/F682</f>
        <v>-1.5904490436650532E-2</v>
      </c>
    </row>
    <row r="684" spans="1:8" x14ac:dyDescent="0.3">
      <c r="A684" s="5">
        <v>45709</v>
      </c>
      <c r="B684" s="6" t="s">
        <v>39</v>
      </c>
      <c r="C684" s="6">
        <v>236.25</v>
      </c>
      <c r="D684" s="6">
        <v>240.63</v>
      </c>
      <c r="E684" s="6">
        <v>231.88</v>
      </c>
      <c r="F684" s="6">
        <v>236.34</v>
      </c>
      <c r="G684" s="6">
        <v>30290</v>
      </c>
      <c r="H684" s="10">
        <f>(Table7[[#This Row],[close]]-F683)/F683</f>
        <v>-7.8918646629166124E-3</v>
      </c>
    </row>
    <row r="685" spans="1:8" x14ac:dyDescent="0.3">
      <c r="A685" s="5">
        <v>45712</v>
      </c>
      <c r="B685" s="6" t="s">
        <v>39</v>
      </c>
      <c r="C685" s="6">
        <v>235.64</v>
      </c>
      <c r="D685" s="6">
        <v>238.83</v>
      </c>
      <c r="E685" s="6">
        <v>232.44</v>
      </c>
      <c r="F685" s="6">
        <v>236.96</v>
      </c>
      <c r="G685" s="6">
        <v>6366</v>
      </c>
      <c r="H685" s="10">
        <f>(Table7[[#This Row],[close]]-F684)/F684</f>
        <v>2.6233392570026424E-3</v>
      </c>
    </row>
    <row r="686" spans="1:8" x14ac:dyDescent="0.3">
      <c r="A686" s="5">
        <v>45713</v>
      </c>
      <c r="B686" s="6" t="s">
        <v>39</v>
      </c>
      <c r="C686" s="6">
        <v>232.66</v>
      </c>
      <c r="D686" s="6">
        <v>235.57</v>
      </c>
      <c r="E686" s="6">
        <v>229.74</v>
      </c>
      <c r="F686" s="6">
        <v>233.74</v>
      </c>
      <c r="G686" s="6">
        <v>11717</v>
      </c>
      <c r="H686" s="10">
        <f>(Table7[[#This Row],[close]]-F685)/F685</f>
        <v>-1.3588791357191082E-2</v>
      </c>
    </row>
    <row r="687" spans="1:8" x14ac:dyDescent="0.3">
      <c r="A687" s="5">
        <v>45714</v>
      </c>
      <c r="B687" s="6" t="s">
        <v>39</v>
      </c>
      <c r="C687" s="6">
        <v>237.22</v>
      </c>
      <c r="D687" s="6">
        <v>239.5</v>
      </c>
      <c r="E687" s="6">
        <v>234.94</v>
      </c>
      <c r="F687" s="6">
        <v>236.11</v>
      </c>
      <c r="G687" s="6">
        <v>24360</v>
      </c>
      <c r="H687" s="10">
        <f>(Table7[[#This Row],[close]]-F686)/F686</f>
        <v>1.0139471207324396E-2</v>
      </c>
    </row>
    <row r="688" spans="1:8" x14ac:dyDescent="0.3">
      <c r="A688" s="5">
        <v>45715</v>
      </c>
      <c r="B688" s="6" t="s">
        <v>39</v>
      </c>
      <c r="C688" s="6">
        <v>237.92</v>
      </c>
      <c r="D688" s="6">
        <v>240.87</v>
      </c>
      <c r="E688" s="6">
        <v>234.96</v>
      </c>
      <c r="F688" s="6">
        <v>238.69</v>
      </c>
      <c r="G688" s="6">
        <v>37435</v>
      </c>
      <c r="H688" s="10">
        <f>(Table7[[#This Row],[close]]-F687)/F687</f>
        <v>1.0927110245224615E-2</v>
      </c>
    </row>
    <row r="689" spans="1:8" x14ac:dyDescent="0.3">
      <c r="A689" s="5">
        <v>45716</v>
      </c>
      <c r="B689" s="6" t="s">
        <v>39</v>
      </c>
      <c r="C689" s="6">
        <v>239.94</v>
      </c>
      <c r="D689" s="6">
        <v>243.15</v>
      </c>
      <c r="E689" s="6">
        <v>236.72</v>
      </c>
      <c r="F689" s="6">
        <v>240.43</v>
      </c>
      <c r="G689" s="6">
        <v>42045</v>
      </c>
      <c r="H689" s="10">
        <f>(Table7[[#This Row],[close]]-F688)/F688</f>
        <v>7.289790104319448E-3</v>
      </c>
    </row>
    <row r="690" spans="1:8" x14ac:dyDescent="0.3">
      <c r="A690" s="5">
        <v>45719</v>
      </c>
      <c r="B690" s="6" t="s">
        <v>39</v>
      </c>
      <c r="C690" s="6">
        <v>240.65</v>
      </c>
      <c r="D690" s="6">
        <v>244.12</v>
      </c>
      <c r="E690" s="6">
        <v>237.18</v>
      </c>
      <c r="F690" s="6">
        <v>241.21</v>
      </c>
      <c r="G690" s="6">
        <v>19020</v>
      </c>
      <c r="H690" s="10">
        <f>(Table7[[#This Row],[close]]-F689)/F689</f>
        <v>3.2441874974004953E-3</v>
      </c>
    </row>
    <row r="691" spans="1:8" x14ac:dyDescent="0.3">
      <c r="A691" s="5">
        <v>45720</v>
      </c>
      <c r="B691" s="6" t="s">
        <v>39</v>
      </c>
      <c r="C691" s="6">
        <v>245.04</v>
      </c>
      <c r="D691" s="6">
        <v>247.32</v>
      </c>
      <c r="E691" s="6">
        <v>242.75</v>
      </c>
      <c r="F691" s="6">
        <v>245.46</v>
      </c>
      <c r="G691" s="6">
        <v>20710</v>
      </c>
      <c r="H691" s="10">
        <f>(Table7[[#This Row],[close]]-F690)/F690</f>
        <v>1.7619501679034866E-2</v>
      </c>
    </row>
    <row r="692" spans="1:8" x14ac:dyDescent="0.3">
      <c r="A692" s="5">
        <v>45721</v>
      </c>
      <c r="B692" s="6" t="s">
        <v>39</v>
      </c>
      <c r="C692" s="6">
        <v>242.97</v>
      </c>
      <c r="D692" s="6">
        <v>245.04</v>
      </c>
      <c r="E692" s="6">
        <v>240.9</v>
      </c>
      <c r="F692" s="6">
        <v>241.97</v>
      </c>
      <c r="G692" s="6">
        <v>5967</v>
      </c>
      <c r="H692" s="10">
        <f>(Table7[[#This Row],[close]]-F691)/F691</f>
        <v>-1.42182025584617E-2</v>
      </c>
    </row>
    <row r="693" spans="1:8" x14ac:dyDescent="0.3">
      <c r="A693" s="5">
        <v>45722</v>
      </c>
      <c r="B693" s="6" t="s">
        <v>39</v>
      </c>
      <c r="C693" s="6">
        <v>242.52</v>
      </c>
      <c r="D693" s="6">
        <v>246.34</v>
      </c>
      <c r="E693" s="6">
        <v>238.7</v>
      </c>
      <c r="F693" s="6">
        <v>242.23</v>
      </c>
      <c r="G693" s="6">
        <v>6722</v>
      </c>
      <c r="H693" s="10">
        <f>(Table7[[#This Row],[close]]-F692)/F692</f>
        <v>1.0745133694259243E-3</v>
      </c>
    </row>
    <row r="694" spans="1:8" x14ac:dyDescent="0.3">
      <c r="A694" s="5">
        <v>45723</v>
      </c>
      <c r="B694" s="6" t="s">
        <v>39</v>
      </c>
      <c r="C694" s="6">
        <v>240.06</v>
      </c>
      <c r="D694" s="6">
        <v>241.26</v>
      </c>
      <c r="E694" s="6">
        <v>238.86</v>
      </c>
      <c r="F694" s="6">
        <v>240.04</v>
      </c>
      <c r="G694" s="6">
        <v>38212</v>
      </c>
      <c r="H694" s="10">
        <f>(Table7[[#This Row],[close]]-F693)/F693</f>
        <v>-9.040994096519827E-3</v>
      </c>
    </row>
    <row r="695" spans="1:8" x14ac:dyDescent="0.3">
      <c r="A695" s="5">
        <v>45726</v>
      </c>
      <c r="B695" s="6" t="s">
        <v>39</v>
      </c>
      <c r="C695" s="6">
        <v>242.37</v>
      </c>
      <c r="D695" s="6">
        <v>245.14</v>
      </c>
      <c r="E695" s="6">
        <v>239.59</v>
      </c>
      <c r="F695" s="6">
        <v>242.81</v>
      </c>
      <c r="G695" s="6">
        <v>13297</v>
      </c>
      <c r="H695" s="10">
        <f>(Table7[[#This Row],[close]]-F694)/F694</f>
        <v>1.1539743376104026E-2</v>
      </c>
    </row>
    <row r="696" spans="1:8" x14ac:dyDescent="0.3">
      <c r="A696" s="5">
        <v>45727</v>
      </c>
      <c r="B696" s="6" t="s">
        <v>39</v>
      </c>
      <c r="C696" s="6">
        <v>239.09</v>
      </c>
      <c r="D696" s="6">
        <v>241.6</v>
      </c>
      <c r="E696" s="6">
        <v>236.59</v>
      </c>
      <c r="F696" s="6">
        <v>237.32</v>
      </c>
      <c r="G696" s="6">
        <v>20702</v>
      </c>
      <c r="H696" s="10">
        <f>(Table7[[#This Row],[close]]-F695)/F695</f>
        <v>-2.2610271405625836E-2</v>
      </c>
    </row>
    <row r="697" spans="1:8" x14ac:dyDescent="0.3">
      <c r="A697" s="5">
        <v>45728</v>
      </c>
      <c r="B697" s="6" t="s">
        <v>39</v>
      </c>
      <c r="C697" s="6">
        <v>237.12</v>
      </c>
      <c r="D697" s="6">
        <v>241.66</v>
      </c>
      <c r="E697" s="6">
        <v>232.58</v>
      </c>
      <c r="F697" s="6">
        <v>237.29</v>
      </c>
      <c r="G697" s="6">
        <v>21127</v>
      </c>
      <c r="H697" s="10">
        <f>(Table7[[#This Row],[close]]-F696)/F696</f>
        <v>-1.2641159615709227E-4</v>
      </c>
    </row>
    <row r="698" spans="1:8" x14ac:dyDescent="0.3">
      <c r="A698" s="5">
        <v>45729</v>
      </c>
      <c r="B698" s="6" t="s">
        <v>39</v>
      </c>
      <c r="C698" s="6">
        <v>238.43</v>
      </c>
      <c r="D698" s="6">
        <v>240.8</v>
      </c>
      <c r="E698" s="6">
        <v>236.06</v>
      </c>
      <c r="F698" s="6">
        <v>238.35</v>
      </c>
      <c r="G698" s="6">
        <v>29482</v>
      </c>
      <c r="H698" s="10">
        <f>(Table7[[#This Row],[close]]-F697)/F697</f>
        <v>4.4671077584390508E-3</v>
      </c>
    </row>
    <row r="699" spans="1:8" x14ac:dyDescent="0.3">
      <c r="A699" s="5">
        <v>45730</v>
      </c>
      <c r="B699" s="6" t="s">
        <v>39</v>
      </c>
      <c r="C699" s="6">
        <v>234.73</v>
      </c>
      <c r="D699" s="6">
        <v>237.43</v>
      </c>
      <c r="E699" s="6">
        <v>232.03</v>
      </c>
      <c r="F699" s="6">
        <v>235.58</v>
      </c>
      <c r="G699" s="6">
        <v>41546</v>
      </c>
      <c r="H699" s="10">
        <f>(Table7[[#This Row],[close]]-F698)/F698</f>
        <v>-1.1621564925529607E-2</v>
      </c>
    </row>
    <row r="700" spans="1:8" x14ac:dyDescent="0.3">
      <c r="A700" s="5">
        <v>45733</v>
      </c>
      <c r="B700" s="6" t="s">
        <v>39</v>
      </c>
      <c r="C700" s="6">
        <v>234.66</v>
      </c>
      <c r="D700" s="6">
        <v>238.23</v>
      </c>
      <c r="E700" s="6">
        <v>231.09</v>
      </c>
      <c r="F700" s="6">
        <v>233.79</v>
      </c>
      <c r="G700" s="6">
        <v>20149</v>
      </c>
      <c r="H700" s="10">
        <f>(Table7[[#This Row],[close]]-F699)/F699</f>
        <v>-7.5982681042534184E-3</v>
      </c>
    </row>
    <row r="701" spans="1:8" x14ac:dyDescent="0.3">
      <c r="A701" s="5">
        <v>45734</v>
      </c>
      <c r="B701" s="6" t="s">
        <v>39</v>
      </c>
      <c r="C701" s="6">
        <v>233.02</v>
      </c>
      <c r="D701" s="6">
        <v>236.8</v>
      </c>
      <c r="E701" s="6">
        <v>229.25</v>
      </c>
      <c r="F701" s="6">
        <v>233.89</v>
      </c>
      <c r="G701" s="6">
        <v>5956</v>
      </c>
      <c r="H701" s="10">
        <f>(Table7[[#This Row],[close]]-F700)/F700</f>
        <v>4.2773429145812189E-4</v>
      </c>
    </row>
    <row r="702" spans="1:8" x14ac:dyDescent="0.3">
      <c r="A702" s="5">
        <v>45735</v>
      </c>
      <c r="B702" s="6" t="s">
        <v>39</v>
      </c>
      <c r="C702" s="6">
        <v>237.26</v>
      </c>
      <c r="D702" s="6">
        <v>239.45</v>
      </c>
      <c r="E702" s="6">
        <v>235.08</v>
      </c>
      <c r="F702" s="6">
        <v>236.78</v>
      </c>
      <c r="G702" s="6">
        <v>16417</v>
      </c>
      <c r="H702" s="10">
        <f>(Table7[[#This Row],[close]]-F701)/F701</f>
        <v>1.2356235837359507E-2</v>
      </c>
    </row>
    <row r="703" spans="1:8" x14ac:dyDescent="0.3">
      <c r="A703" s="5">
        <v>45736</v>
      </c>
      <c r="B703" s="6" t="s">
        <v>39</v>
      </c>
      <c r="C703" s="6">
        <v>233.54</v>
      </c>
      <c r="D703" s="6">
        <v>237.87</v>
      </c>
      <c r="E703" s="6">
        <v>229.21</v>
      </c>
      <c r="F703" s="6">
        <v>233.77</v>
      </c>
      <c r="G703" s="6">
        <v>33598</v>
      </c>
      <c r="H703" s="10">
        <f>(Table7[[#This Row],[close]]-F702)/F702</f>
        <v>-1.2712222316073954E-2</v>
      </c>
    </row>
    <row r="704" spans="1:8" x14ac:dyDescent="0.3">
      <c r="A704" s="5">
        <v>45737</v>
      </c>
      <c r="B704" s="6" t="s">
        <v>39</v>
      </c>
      <c r="C704" s="6">
        <v>231.97</v>
      </c>
      <c r="D704" s="6">
        <v>233.65</v>
      </c>
      <c r="E704" s="6">
        <v>230.29</v>
      </c>
      <c r="F704" s="6">
        <v>231.31</v>
      </c>
      <c r="G704" s="6">
        <v>21584</v>
      </c>
      <c r="H704" s="10">
        <f>(Table7[[#This Row],[close]]-F703)/F703</f>
        <v>-1.052316379347225E-2</v>
      </c>
    </row>
    <row r="705" spans="1:8" x14ac:dyDescent="0.3">
      <c r="A705" s="5">
        <v>45740</v>
      </c>
      <c r="B705" s="6" t="s">
        <v>39</v>
      </c>
      <c r="C705" s="6">
        <v>232.96</v>
      </c>
      <c r="D705" s="6">
        <v>235.74</v>
      </c>
      <c r="E705" s="6">
        <v>230.18</v>
      </c>
      <c r="F705" s="6">
        <v>234.67</v>
      </c>
      <c r="G705" s="6">
        <v>44361</v>
      </c>
      <c r="H705" s="10">
        <f>(Table7[[#This Row],[close]]-F704)/F704</f>
        <v>1.4525960831784122E-2</v>
      </c>
    </row>
    <row r="706" spans="1:8" x14ac:dyDescent="0.3">
      <c r="A706" s="5">
        <v>45741</v>
      </c>
      <c r="B706" s="6" t="s">
        <v>39</v>
      </c>
      <c r="C706" s="6">
        <v>234.98</v>
      </c>
      <c r="D706" s="6">
        <v>237.1</v>
      </c>
      <c r="E706" s="6">
        <v>232.87</v>
      </c>
      <c r="F706" s="6">
        <v>233.92</v>
      </c>
      <c r="G706" s="6">
        <v>13996</v>
      </c>
      <c r="H706" s="10">
        <f>(Table7[[#This Row],[close]]-F705)/F705</f>
        <v>-3.1959773298674736E-3</v>
      </c>
    </row>
    <row r="707" spans="1:8" x14ac:dyDescent="0.3">
      <c r="A707" s="5">
        <v>45742</v>
      </c>
      <c r="B707" s="6" t="s">
        <v>39</v>
      </c>
      <c r="C707" s="6">
        <v>232.06</v>
      </c>
      <c r="D707" s="6">
        <v>235.03</v>
      </c>
      <c r="E707" s="6">
        <v>229.08</v>
      </c>
      <c r="F707" s="6">
        <v>231.69</v>
      </c>
      <c r="G707" s="6">
        <v>23626</v>
      </c>
      <c r="H707" s="10">
        <f>(Table7[[#This Row],[close]]-F706)/F706</f>
        <v>-9.5331737346100801E-3</v>
      </c>
    </row>
    <row r="708" spans="1:8" x14ac:dyDescent="0.3">
      <c r="A708" s="5">
        <v>45743</v>
      </c>
      <c r="B708" s="6" t="s">
        <v>39</v>
      </c>
      <c r="C708" s="6">
        <v>232.69</v>
      </c>
      <c r="D708" s="6">
        <v>235.41</v>
      </c>
      <c r="E708" s="6">
        <v>229.96</v>
      </c>
      <c r="F708" s="6">
        <v>233.89</v>
      </c>
      <c r="G708" s="6">
        <v>2132</v>
      </c>
      <c r="H708" s="10">
        <f>(Table7[[#This Row],[close]]-F707)/F707</f>
        <v>9.4954465017911376E-3</v>
      </c>
    </row>
    <row r="709" spans="1:8" x14ac:dyDescent="0.3">
      <c r="A709" s="5">
        <v>45744</v>
      </c>
      <c r="B709" s="6" t="s">
        <v>39</v>
      </c>
      <c r="C709" s="6">
        <v>231.25</v>
      </c>
      <c r="D709" s="6">
        <v>234.15</v>
      </c>
      <c r="E709" s="6">
        <v>228.35</v>
      </c>
      <c r="F709" s="6">
        <v>232.51</v>
      </c>
      <c r="G709" s="6">
        <v>40065</v>
      </c>
      <c r="H709" s="10">
        <f>(Table7[[#This Row],[close]]-F708)/F708</f>
        <v>-5.9002095001923788E-3</v>
      </c>
    </row>
    <row r="710" spans="1:8" x14ac:dyDescent="0.3">
      <c r="A710" s="5">
        <v>45747</v>
      </c>
      <c r="B710" s="6" t="s">
        <v>39</v>
      </c>
      <c r="C710" s="6">
        <v>236.71</v>
      </c>
      <c r="D710" s="6">
        <v>239.8</v>
      </c>
      <c r="E710" s="6">
        <v>233.62</v>
      </c>
      <c r="F710" s="6">
        <v>235.59</v>
      </c>
      <c r="G710" s="6">
        <v>3179</v>
      </c>
      <c r="H710" s="10">
        <f>(Table7[[#This Row],[close]]-F709)/F709</f>
        <v>1.3246742075609705E-2</v>
      </c>
    </row>
    <row r="711" spans="1:8" x14ac:dyDescent="0.3">
      <c r="A711" s="5">
        <v>45748</v>
      </c>
      <c r="B711" s="6" t="s">
        <v>39</v>
      </c>
      <c r="C711" s="6">
        <v>233.53</v>
      </c>
      <c r="D711" s="6">
        <v>237.53</v>
      </c>
      <c r="E711" s="6">
        <v>229.53</v>
      </c>
      <c r="F711" s="6">
        <v>233.69</v>
      </c>
      <c r="G711" s="6">
        <v>48857</v>
      </c>
      <c r="H711" s="10">
        <f>(Table7[[#This Row],[close]]-F710)/F710</f>
        <v>-8.0648584405110819E-3</v>
      </c>
    </row>
    <row r="712" spans="1:8" x14ac:dyDescent="0.3">
      <c r="A712" s="5">
        <v>45749</v>
      </c>
      <c r="B712" s="6" t="s">
        <v>39</v>
      </c>
      <c r="C712" s="6">
        <v>232.37</v>
      </c>
      <c r="D712" s="6">
        <v>234.23</v>
      </c>
      <c r="E712" s="6">
        <v>230.52</v>
      </c>
      <c r="F712" s="6">
        <v>233.27</v>
      </c>
      <c r="G712" s="6">
        <v>40464</v>
      </c>
      <c r="H712" s="10">
        <f>(Table7[[#This Row],[close]]-F711)/F711</f>
        <v>-1.7972527707646347E-3</v>
      </c>
    </row>
    <row r="713" spans="1:8" x14ac:dyDescent="0.3">
      <c r="A713" s="5">
        <v>45750</v>
      </c>
      <c r="B713" s="6" t="s">
        <v>39</v>
      </c>
      <c r="C713" s="6">
        <v>235.42</v>
      </c>
      <c r="D713" s="6">
        <v>237.52</v>
      </c>
      <c r="E713" s="6">
        <v>233.32</v>
      </c>
      <c r="F713" s="6">
        <v>236.12</v>
      </c>
      <c r="G713" s="6">
        <v>14869</v>
      </c>
      <c r="H713" s="10">
        <f>(Table7[[#This Row],[close]]-F712)/F712</f>
        <v>1.221760192052126E-2</v>
      </c>
    </row>
    <row r="714" spans="1:8" x14ac:dyDescent="0.3">
      <c r="A714" s="5">
        <v>45751</v>
      </c>
      <c r="B714" s="6" t="s">
        <v>39</v>
      </c>
      <c r="C714" s="6">
        <v>235.83</v>
      </c>
      <c r="D714" s="6">
        <v>236.48</v>
      </c>
      <c r="E714" s="6">
        <v>235.17</v>
      </c>
      <c r="F714" s="6">
        <v>235.51</v>
      </c>
      <c r="G714" s="6">
        <v>32555</v>
      </c>
      <c r="H714" s="10">
        <f>(Table7[[#This Row],[close]]-F713)/F713</f>
        <v>-2.5834321531425278E-3</v>
      </c>
    </row>
    <row r="715" spans="1:8" x14ac:dyDescent="0.3">
      <c r="A715" s="5">
        <v>45754</v>
      </c>
      <c r="B715" s="6" t="s">
        <v>39</v>
      </c>
      <c r="C715" s="6">
        <v>236.43</v>
      </c>
      <c r="D715" s="6">
        <v>239.22</v>
      </c>
      <c r="E715" s="6">
        <v>233.63</v>
      </c>
      <c r="F715" s="6">
        <v>237.82</v>
      </c>
      <c r="G715" s="6">
        <v>47976</v>
      </c>
      <c r="H715" s="10">
        <f>(Table7[[#This Row],[close]]-F714)/F714</f>
        <v>9.8085007006072037E-3</v>
      </c>
    </row>
    <row r="716" spans="1:8" x14ac:dyDescent="0.3">
      <c r="A716" s="5">
        <v>45755</v>
      </c>
      <c r="B716" s="6" t="s">
        <v>39</v>
      </c>
      <c r="C716" s="6">
        <v>236.72</v>
      </c>
      <c r="D716" s="6">
        <v>239.62</v>
      </c>
      <c r="E716" s="6">
        <v>233.82</v>
      </c>
      <c r="F716" s="6">
        <v>237.68</v>
      </c>
      <c r="G716" s="6">
        <v>46095</v>
      </c>
      <c r="H716" s="10">
        <f>(Table7[[#This Row],[close]]-F715)/F715</f>
        <v>-5.8868051467490692E-4</v>
      </c>
    </row>
    <row r="717" spans="1:8" x14ac:dyDescent="0.3">
      <c r="A717" s="5">
        <v>45756</v>
      </c>
      <c r="B717" s="6" t="s">
        <v>39</v>
      </c>
      <c r="C717" s="6">
        <v>242.09</v>
      </c>
      <c r="D717" s="6">
        <v>243.98</v>
      </c>
      <c r="E717" s="6">
        <v>240.2</v>
      </c>
      <c r="F717" s="6">
        <v>243.75</v>
      </c>
      <c r="G717" s="6">
        <v>48068</v>
      </c>
      <c r="H717" s="10">
        <f>(Table7[[#This Row],[close]]-F716)/F716</f>
        <v>2.5538539212386371E-2</v>
      </c>
    </row>
    <row r="718" spans="1:8" x14ac:dyDescent="0.3">
      <c r="A718" s="5">
        <v>45757</v>
      </c>
      <c r="B718" s="6" t="s">
        <v>39</v>
      </c>
      <c r="C718" s="6">
        <v>248.96</v>
      </c>
      <c r="D718" s="6">
        <v>252.5</v>
      </c>
      <c r="E718" s="6">
        <v>245.41</v>
      </c>
      <c r="F718" s="6">
        <v>248.67</v>
      </c>
      <c r="G718" s="6">
        <v>17673</v>
      </c>
      <c r="H718" s="10">
        <f>(Table7[[#This Row],[close]]-F717)/F717</f>
        <v>2.0184615384615332E-2</v>
      </c>
    </row>
    <row r="719" spans="1:8" x14ac:dyDescent="0.3">
      <c r="A719" s="5">
        <v>45758</v>
      </c>
      <c r="B719" s="6" t="s">
        <v>39</v>
      </c>
      <c r="C719" s="6">
        <v>245.43</v>
      </c>
      <c r="D719" s="6">
        <v>248.89</v>
      </c>
      <c r="E719" s="6">
        <v>241.96</v>
      </c>
      <c r="F719" s="6">
        <v>244.6</v>
      </c>
      <c r="G719" s="6">
        <v>8415</v>
      </c>
      <c r="H719" s="10">
        <f>(Table7[[#This Row],[close]]-F718)/F718</f>
        <v>-1.6367072827441966E-2</v>
      </c>
    </row>
    <row r="720" spans="1:8" x14ac:dyDescent="0.3">
      <c r="A720" s="5">
        <v>45761</v>
      </c>
      <c r="B720" s="6" t="s">
        <v>39</v>
      </c>
      <c r="C720" s="6">
        <v>244.7</v>
      </c>
      <c r="D720" s="6">
        <v>247.7</v>
      </c>
      <c r="E720" s="6">
        <v>241.69</v>
      </c>
      <c r="F720" s="6">
        <v>246.28</v>
      </c>
      <c r="G720" s="6">
        <v>38726</v>
      </c>
      <c r="H720" s="10">
        <f>(Table7[[#This Row],[close]]-F719)/F719</f>
        <v>6.8683565004088584E-3</v>
      </c>
    </row>
    <row r="721" spans="1:8" x14ac:dyDescent="0.3">
      <c r="A721" s="5">
        <v>45762</v>
      </c>
      <c r="B721" s="6" t="s">
        <v>39</v>
      </c>
      <c r="C721" s="6">
        <v>242.26</v>
      </c>
      <c r="D721" s="6">
        <v>244.44</v>
      </c>
      <c r="E721" s="6">
        <v>240.08</v>
      </c>
      <c r="F721" s="6">
        <v>243.81</v>
      </c>
      <c r="G721" s="6">
        <v>33252</v>
      </c>
      <c r="H721" s="10">
        <f>(Table7[[#This Row],[close]]-F720)/F720</f>
        <v>-1.0029235017053755E-2</v>
      </c>
    </row>
    <row r="722" spans="1:8" x14ac:dyDescent="0.3">
      <c r="A722" s="5">
        <v>45763</v>
      </c>
      <c r="B722" s="6" t="s">
        <v>39</v>
      </c>
      <c r="C722" s="6">
        <v>244.2</v>
      </c>
      <c r="D722" s="6">
        <v>246.5</v>
      </c>
      <c r="E722" s="6">
        <v>241.91</v>
      </c>
      <c r="F722" s="6">
        <v>244.46</v>
      </c>
      <c r="G722" s="6">
        <v>35148</v>
      </c>
      <c r="H722" s="10">
        <f>(Table7[[#This Row],[close]]-F721)/F721</f>
        <v>2.6660104179484258E-3</v>
      </c>
    </row>
    <row r="723" spans="1:8" x14ac:dyDescent="0.3">
      <c r="A723" s="5">
        <v>45764</v>
      </c>
      <c r="B723" s="6" t="s">
        <v>39</v>
      </c>
      <c r="C723" s="6">
        <v>246.01</v>
      </c>
      <c r="D723" s="6">
        <v>248.27</v>
      </c>
      <c r="E723" s="6">
        <v>243.75</v>
      </c>
      <c r="F723" s="6">
        <v>244.73</v>
      </c>
      <c r="G723" s="6">
        <v>47694</v>
      </c>
      <c r="H723" s="10">
        <f>(Table7[[#This Row],[close]]-F722)/F722</f>
        <v>1.1044751697618497E-3</v>
      </c>
    </row>
    <row r="724" spans="1:8" x14ac:dyDescent="0.3">
      <c r="A724" s="5">
        <v>45765</v>
      </c>
      <c r="B724" s="6" t="s">
        <v>39</v>
      </c>
      <c r="C724" s="6">
        <v>241.55</v>
      </c>
      <c r="D724" s="6">
        <v>243.02</v>
      </c>
      <c r="E724" s="6">
        <v>240.09</v>
      </c>
      <c r="F724" s="6">
        <v>241.55</v>
      </c>
      <c r="G724" s="6">
        <v>39402</v>
      </c>
      <c r="H724" s="10">
        <f>(Table7[[#This Row],[close]]-F723)/F723</f>
        <v>-1.2993911657745183E-2</v>
      </c>
    </row>
    <row r="725" spans="1:8" x14ac:dyDescent="0.3">
      <c r="A725" s="5">
        <v>45768</v>
      </c>
      <c r="B725" s="6" t="s">
        <v>39</v>
      </c>
      <c r="C725" s="6">
        <v>246.89</v>
      </c>
      <c r="D725" s="6">
        <v>249.18</v>
      </c>
      <c r="E725" s="6">
        <v>244.6</v>
      </c>
      <c r="F725" s="6">
        <v>244.86</v>
      </c>
      <c r="G725" s="6">
        <v>11179</v>
      </c>
      <c r="H725" s="10">
        <f>(Table7[[#This Row],[close]]-F724)/F724</f>
        <v>1.3703167046160224E-2</v>
      </c>
    </row>
    <row r="726" spans="1:8" x14ac:dyDescent="0.3">
      <c r="A726" s="5">
        <v>45769</v>
      </c>
      <c r="B726" s="6" t="s">
        <v>39</v>
      </c>
      <c r="C726" s="6">
        <v>247.37</v>
      </c>
      <c r="D726" s="6">
        <v>250.29</v>
      </c>
      <c r="E726" s="6">
        <v>244.44</v>
      </c>
      <c r="F726" s="6">
        <v>245.54</v>
      </c>
      <c r="G726" s="6">
        <v>31206</v>
      </c>
      <c r="H726" s="10">
        <f>(Table7[[#This Row],[close]]-F725)/F725</f>
        <v>2.77709711671967E-3</v>
      </c>
    </row>
    <row r="727" spans="1:8" x14ac:dyDescent="0.3">
      <c r="A727" s="5">
        <v>45770</v>
      </c>
      <c r="B727" s="6" t="s">
        <v>39</v>
      </c>
      <c r="C727" s="6">
        <v>245.27</v>
      </c>
      <c r="D727" s="6">
        <v>247.86</v>
      </c>
      <c r="E727" s="6">
        <v>242.69</v>
      </c>
      <c r="F727" s="6">
        <v>244.72</v>
      </c>
      <c r="G727" s="6">
        <v>23412</v>
      </c>
      <c r="H727" s="10">
        <f>(Table7[[#This Row],[close]]-F726)/F726</f>
        <v>-3.3395780728190647E-3</v>
      </c>
    </row>
    <row r="728" spans="1:8" x14ac:dyDescent="0.3">
      <c r="A728" s="5">
        <v>45771</v>
      </c>
      <c r="B728" s="6" t="s">
        <v>39</v>
      </c>
      <c r="C728" s="6">
        <v>243.72</v>
      </c>
      <c r="D728" s="6">
        <v>245.49</v>
      </c>
      <c r="E728" s="6">
        <v>241.96</v>
      </c>
      <c r="F728" s="6">
        <v>243.43</v>
      </c>
      <c r="G728" s="6">
        <v>36517</v>
      </c>
      <c r="H728" s="10">
        <f>(Table7[[#This Row],[close]]-F727)/F727</f>
        <v>-5.2713305001634196E-3</v>
      </c>
    </row>
    <row r="729" spans="1:8" x14ac:dyDescent="0.3">
      <c r="A729" s="5">
        <v>45772</v>
      </c>
      <c r="B729" s="6" t="s">
        <v>39</v>
      </c>
      <c r="C729" s="6">
        <v>245.3</v>
      </c>
      <c r="D729" s="6">
        <v>247.91</v>
      </c>
      <c r="E729" s="6">
        <v>242.69</v>
      </c>
      <c r="F729" s="6">
        <v>243.92</v>
      </c>
      <c r="G729" s="6">
        <v>17589</v>
      </c>
      <c r="H729" s="10">
        <f>(Table7[[#This Row],[close]]-F728)/F728</f>
        <v>2.0128989853345136E-3</v>
      </c>
    </row>
    <row r="730" spans="1:8" x14ac:dyDescent="0.3">
      <c r="A730" s="5">
        <v>45775</v>
      </c>
      <c r="B730" s="6" t="s">
        <v>39</v>
      </c>
      <c r="C730" s="6">
        <v>244.72</v>
      </c>
      <c r="D730" s="6">
        <v>245.85</v>
      </c>
      <c r="E730" s="6">
        <v>243.58</v>
      </c>
      <c r="F730" s="6">
        <v>245.23</v>
      </c>
      <c r="G730" s="6">
        <v>8214</v>
      </c>
      <c r="H730" s="10">
        <f>(Table7[[#This Row],[close]]-F729)/F729</f>
        <v>5.3706133158412687E-3</v>
      </c>
    </row>
    <row r="731" spans="1:8" x14ac:dyDescent="0.3">
      <c r="A731" s="5">
        <v>45776</v>
      </c>
      <c r="B731" s="6" t="s">
        <v>39</v>
      </c>
      <c r="C731" s="6">
        <v>244.47</v>
      </c>
      <c r="D731" s="6">
        <v>248.86</v>
      </c>
      <c r="E731" s="6">
        <v>240.08</v>
      </c>
      <c r="F731" s="6">
        <v>244.91</v>
      </c>
      <c r="G731" s="6">
        <v>28127</v>
      </c>
      <c r="H731" s="10">
        <f>(Table7[[#This Row],[close]]-F730)/F730</f>
        <v>-1.3048974432165444E-3</v>
      </c>
    </row>
    <row r="732" spans="1:8" x14ac:dyDescent="0.3">
      <c r="A732" s="5">
        <v>45777</v>
      </c>
      <c r="B732" s="6" t="s">
        <v>39</v>
      </c>
      <c r="C732" s="6">
        <v>236.9</v>
      </c>
      <c r="D732" s="6">
        <v>239.98</v>
      </c>
      <c r="E732" s="6">
        <v>233.81</v>
      </c>
      <c r="F732" s="6">
        <v>236.38</v>
      </c>
      <c r="G732" s="6">
        <v>19375</v>
      </c>
      <c r="H732" s="10">
        <f>(Table7[[#This Row],[close]]-F731)/F731</f>
        <v>-3.4829120901555675E-2</v>
      </c>
    </row>
    <row r="733" spans="1:8" x14ac:dyDescent="0.3">
      <c r="A733" s="5">
        <v>45778</v>
      </c>
      <c r="B733" s="6" t="s">
        <v>39</v>
      </c>
      <c r="C733" s="6">
        <v>237.86</v>
      </c>
      <c r="D733" s="6">
        <v>239.61</v>
      </c>
      <c r="E733" s="6">
        <v>236.11</v>
      </c>
      <c r="F733" s="6">
        <v>236.48</v>
      </c>
      <c r="G733" s="6">
        <v>11014</v>
      </c>
      <c r="H733" s="10">
        <f>(Table7[[#This Row],[close]]-F732)/F732</f>
        <v>4.2304763516369542E-4</v>
      </c>
    </row>
    <row r="734" spans="1:8" x14ac:dyDescent="0.3">
      <c r="A734" s="5">
        <v>45779</v>
      </c>
      <c r="B734" s="6" t="s">
        <v>39</v>
      </c>
      <c r="C734" s="6">
        <v>233.99</v>
      </c>
      <c r="D734" s="6">
        <v>235.79</v>
      </c>
      <c r="E734" s="6">
        <v>232.19</v>
      </c>
      <c r="F734" s="6">
        <v>232.28</v>
      </c>
      <c r="G734" s="6">
        <v>31881</v>
      </c>
      <c r="H734" s="10">
        <f>(Table7[[#This Row],[close]]-F733)/F733</f>
        <v>-1.7760487144790209E-2</v>
      </c>
    </row>
    <row r="735" spans="1:8" x14ac:dyDescent="0.3">
      <c r="A735" s="5">
        <v>45782</v>
      </c>
      <c r="B735" s="6" t="s">
        <v>39</v>
      </c>
      <c r="C735" s="6">
        <v>232.18</v>
      </c>
      <c r="D735" s="6">
        <v>235.34</v>
      </c>
      <c r="E735" s="6">
        <v>229.02</v>
      </c>
      <c r="F735" s="6">
        <v>231.73</v>
      </c>
      <c r="G735" s="6">
        <v>4551</v>
      </c>
      <c r="H735" s="10">
        <f>(Table7[[#This Row],[close]]-F734)/F734</f>
        <v>-2.3678319269847224E-3</v>
      </c>
    </row>
    <row r="736" spans="1:8" x14ac:dyDescent="0.3">
      <c r="A736" s="5">
        <v>45783</v>
      </c>
      <c r="B736" s="6" t="s">
        <v>39</v>
      </c>
      <c r="C736" s="6">
        <v>227.21</v>
      </c>
      <c r="D736" s="6">
        <v>227.91</v>
      </c>
      <c r="E736" s="6">
        <v>226.51</v>
      </c>
      <c r="F736" s="6">
        <v>227.72</v>
      </c>
      <c r="G736" s="6">
        <v>29483</v>
      </c>
      <c r="H736" s="10">
        <f>(Table7[[#This Row],[close]]-F735)/F735</f>
        <v>-1.7304621758080486E-2</v>
      </c>
    </row>
    <row r="737" spans="1:8" x14ac:dyDescent="0.3">
      <c r="A737" s="5">
        <v>45784</v>
      </c>
      <c r="B737" s="6" t="s">
        <v>39</v>
      </c>
      <c r="C737" s="6">
        <v>224.45</v>
      </c>
      <c r="D737" s="6">
        <v>227.99</v>
      </c>
      <c r="E737" s="6">
        <v>220.91</v>
      </c>
      <c r="F737" s="6">
        <v>223.74</v>
      </c>
      <c r="G737" s="6">
        <v>12156</v>
      </c>
      <c r="H737" s="10">
        <f>(Table7[[#This Row],[close]]-F736)/F736</f>
        <v>-1.7477604075180002E-2</v>
      </c>
    </row>
    <row r="738" spans="1:8" x14ac:dyDescent="0.3">
      <c r="A738" s="5">
        <v>45785</v>
      </c>
      <c r="B738" s="6" t="s">
        <v>39</v>
      </c>
      <c r="C738" s="6">
        <v>226.8</v>
      </c>
      <c r="D738" s="6">
        <v>229.85</v>
      </c>
      <c r="E738" s="6">
        <v>223.75</v>
      </c>
      <c r="F738" s="6">
        <v>227.3</v>
      </c>
      <c r="G738" s="6">
        <v>39078</v>
      </c>
      <c r="H738" s="10">
        <f>(Table7[[#This Row],[close]]-F737)/F737</f>
        <v>1.5911325645838931E-2</v>
      </c>
    </row>
    <row r="739" spans="1:8" x14ac:dyDescent="0.3">
      <c r="A739" s="5">
        <v>45786</v>
      </c>
      <c r="B739" s="6" t="s">
        <v>39</v>
      </c>
      <c r="C739" s="6">
        <v>226.76</v>
      </c>
      <c r="D739" s="6">
        <v>228.75</v>
      </c>
      <c r="E739" s="6">
        <v>224.77</v>
      </c>
      <c r="F739" s="6">
        <v>226.44</v>
      </c>
      <c r="G739" s="6">
        <v>11728</v>
      </c>
      <c r="H739" s="10">
        <f>(Table7[[#This Row],[close]]-F738)/F738</f>
        <v>-3.7835459744831219E-3</v>
      </c>
    </row>
    <row r="740" spans="1:8" x14ac:dyDescent="0.3">
      <c r="A740" s="5">
        <v>45789</v>
      </c>
      <c r="B740" s="6" t="s">
        <v>39</v>
      </c>
      <c r="C740" s="6">
        <v>226.02</v>
      </c>
      <c r="D740" s="6">
        <v>227.39</v>
      </c>
      <c r="E740" s="6">
        <v>224.65</v>
      </c>
      <c r="F740" s="6">
        <v>225.37</v>
      </c>
      <c r="G740" s="6">
        <v>21238</v>
      </c>
      <c r="H740" s="10">
        <f>(Table7[[#This Row],[close]]-F739)/F739</f>
        <v>-4.7253135488429304E-3</v>
      </c>
    </row>
    <row r="741" spans="1:8" x14ac:dyDescent="0.3">
      <c r="A741" s="5">
        <v>45790</v>
      </c>
      <c r="B741" s="6" t="s">
        <v>39</v>
      </c>
      <c r="C741" s="6">
        <v>227.37</v>
      </c>
      <c r="D741" s="6">
        <v>230.04</v>
      </c>
      <c r="E741" s="6">
        <v>224.7</v>
      </c>
      <c r="F741" s="6">
        <v>226.8</v>
      </c>
      <c r="G741" s="6">
        <v>20456</v>
      </c>
      <c r="H741" s="10">
        <f>(Table7[[#This Row],[close]]-F740)/F740</f>
        <v>6.3451213559923983E-3</v>
      </c>
    </row>
    <row r="742" spans="1:8" x14ac:dyDescent="0.3">
      <c r="A742" s="5">
        <v>45791</v>
      </c>
      <c r="B742" s="6" t="s">
        <v>39</v>
      </c>
      <c r="C742" s="6">
        <v>225.79</v>
      </c>
      <c r="D742" s="6">
        <v>226.34</v>
      </c>
      <c r="E742" s="6">
        <v>225.23</v>
      </c>
      <c r="F742" s="6">
        <v>225.79</v>
      </c>
      <c r="G742" s="6">
        <v>34276</v>
      </c>
      <c r="H742" s="10">
        <f>(Table7[[#This Row],[close]]-F741)/F741</f>
        <v>-4.4532627865962052E-3</v>
      </c>
    </row>
    <row r="743" spans="1:8" x14ac:dyDescent="0.3">
      <c r="A743" s="5">
        <v>45792</v>
      </c>
      <c r="B743" s="6" t="s">
        <v>39</v>
      </c>
      <c r="C743" s="6">
        <v>233.28</v>
      </c>
      <c r="D743" s="6">
        <v>235.91</v>
      </c>
      <c r="E743" s="6">
        <v>230.64</v>
      </c>
      <c r="F743" s="6">
        <v>231.91</v>
      </c>
      <c r="G743" s="6">
        <v>14050</v>
      </c>
      <c r="H743" s="10">
        <f>(Table7[[#This Row],[close]]-F742)/F742</f>
        <v>2.7104831923468731E-2</v>
      </c>
    </row>
    <row r="744" spans="1:8" x14ac:dyDescent="0.3">
      <c r="A744" s="5">
        <v>45793</v>
      </c>
      <c r="B744" s="6" t="s">
        <v>39</v>
      </c>
      <c r="C744" s="6">
        <v>230.96</v>
      </c>
      <c r="D744" s="6">
        <v>231.41</v>
      </c>
      <c r="E744" s="6">
        <v>230.52</v>
      </c>
      <c r="F744" s="6">
        <v>231.17</v>
      </c>
      <c r="G744" s="6">
        <v>38125</v>
      </c>
      <c r="H744" s="10">
        <f>(Table7[[#This Row],[close]]-F743)/F743</f>
        <v>-3.1908930188435563E-3</v>
      </c>
    </row>
    <row r="745" spans="1:8" x14ac:dyDescent="0.3">
      <c r="A745" s="5">
        <v>45796</v>
      </c>
      <c r="B745" s="6" t="s">
        <v>39</v>
      </c>
      <c r="C745" s="6">
        <v>233.47</v>
      </c>
      <c r="D745" s="6">
        <v>235.38</v>
      </c>
      <c r="E745" s="6">
        <v>231.56</v>
      </c>
      <c r="F745" s="6">
        <v>232.29</v>
      </c>
      <c r="G745" s="6">
        <v>37176</v>
      </c>
      <c r="H745" s="10">
        <f>(Table7[[#This Row],[close]]-F744)/F744</f>
        <v>4.8449193234416429E-3</v>
      </c>
    </row>
    <row r="746" spans="1:8" x14ac:dyDescent="0.3">
      <c r="A746" s="5">
        <v>45797</v>
      </c>
      <c r="B746" s="6" t="s">
        <v>39</v>
      </c>
      <c r="C746" s="6">
        <v>235.15</v>
      </c>
      <c r="D746" s="6">
        <v>238.51</v>
      </c>
      <c r="E746" s="6">
        <v>231.79</v>
      </c>
      <c r="F746" s="6">
        <v>235.21</v>
      </c>
      <c r="G746" s="6">
        <v>1174</v>
      </c>
      <c r="H746" s="10">
        <f>(Table7[[#This Row],[close]]-F745)/F745</f>
        <v>1.2570493779327634E-2</v>
      </c>
    </row>
    <row r="747" spans="1:8" x14ac:dyDescent="0.3">
      <c r="A747" s="5">
        <v>45798</v>
      </c>
      <c r="B747" s="6" t="s">
        <v>39</v>
      </c>
      <c r="C747" s="6">
        <v>239.79</v>
      </c>
      <c r="D747" s="6">
        <v>242.15</v>
      </c>
      <c r="E747" s="6">
        <v>237.42</v>
      </c>
      <c r="F747" s="6">
        <v>240.06</v>
      </c>
      <c r="G747" s="6">
        <v>13112</v>
      </c>
      <c r="H747" s="10">
        <f>(Table7[[#This Row],[close]]-F746)/F746</f>
        <v>2.0619871604098439E-2</v>
      </c>
    </row>
    <row r="748" spans="1:8" x14ac:dyDescent="0.3">
      <c r="A748" s="5">
        <v>45799</v>
      </c>
      <c r="B748" s="6" t="s">
        <v>39</v>
      </c>
      <c r="C748" s="6">
        <v>238.4</v>
      </c>
      <c r="D748" s="6">
        <v>239.7</v>
      </c>
      <c r="E748" s="6">
        <v>237.11</v>
      </c>
      <c r="F748" s="6">
        <v>237.88</v>
      </c>
      <c r="G748" s="6">
        <v>34919</v>
      </c>
      <c r="H748" s="10">
        <f>(Table7[[#This Row],[close]]-F747)/F747</f>
        <v>-9.0810630675664701E-3</v>
      </c>
    </row>
    <row r="749" spans="1:8" x14ac:dyDescent="0.3">
      <c r="A749" s="5">
        <v>45800</v>
      </c>
      <c r="B749" s="6" t="s">
        <v>39</v>
      </c>
      <c r="C749" s="6">
        <v>238.8</v>
      </c>
      <c r="D749" s="6">
        <v>240.98</v>
      </c>
      <c r="E749" s="6">
        <v>236.62</v>
      </c>
      <c r="F749" s="6">
        <v>236.69</v>
      </c>
      <c r="G749" s="6">
        <v>25618</v>
      </c>
      <c r="H749" s="10">
        <f>(Table7[[#This Row],[close]]-F748)/F748</f>
        <v>-5.002522280141238E-3</v>
      </c>
    </row>
    <row r="750" spans="1:8" x14ac:dyDescent="0.3">
      <c r="A750" s="5">
        <v>45803</v>
      </c>
      <c r="B750" s="6" t="s">
        <v>39</v>
      </c>
      <c r="C750" s="6">
        <v>242.57</v>
      </c>
      <c r="D750" s="6">
        <v>244.62</v>
      </c>
      <c r="E750" s="6">
        <v>240.53</v>
      </c>
      <c r="F750" s="6">
        <v>240.58</v>
      </c>
      <c r="G750" s="6">
        <v>44833</v>
      </c>
      <c r="H750" s="10">
        <f>(Table7[[#This Row],[close]]-F749)/F749</f>
        <v>1.6434999366259726E-2</v>
      </c>
    </row>
    <row r="751" spans="1:8" x14ac:dyDescent="0.3">
      <c r="A751" s="5">
        <v>45804</v>
      </c>
      <c r="B751" s="6" t="s">
        <v>39</v>
      </c>
      <c r="C751" s="6">
        <v>242.55</v>
      </c>
      <c r="D751" s="6">
        <v>246.1</v>
      </c>
      <c r="E751" s="6">
        <v>239.01</v>
      </c>
      <c r="F751" s="6">
        <v>243.11</v>
      </c>
      <c r="G751" s="6">
        <v>46814</v>
      </c>
      <c r="H751" s="10">
        <f>(Table7[[#This Row],[close]]-F750)/F750</f>
        <v>1.0516252390057365E-2</v>
      </c>
    </row>
    <row r="752" spans="1:8" x14ac:dyDescent="0.3">
      <c r="A752" s="5">
        <v>45805</v>
      </c>
      <c r="B752" s="6" t="s">
        <v>39</v>
      </c>
      <c r="C752" s="6">
        <v>245.32</v>
      </c>
      <c r="D752" s="6">
        <v>247.64</v>
      </c>
      <c r="E752" s="6">
        <v>243.01</v>
      </c>
      <c r="F752" s="6">
        <v>246.48</v>
      </c>
      <c r="G752" s="6">
        <v>21306</v>
      </c>
      <c r="H752" s="10">
        <f>(Table7[[#This Row],[close]]-F751)/F751</f>
        <v>1.3862037760684365E-2</v>
      </c>
    </row>
    <row r="753" spans="1:8" x14ac:dyDescent="0.3">
      <c r="A753" s="5">
        <v>45806</v>
      </c>
      <c r="B753" s="6" t="s">
        <v>39</v>
      </c>
      <c r="C753" s="6">
        <v>242.74</v>
      </c>
      <c r="D753" s="6">
        <v>245.75</v>
      </c>
      <c r="E753" s="6">
        <v>239.74</v>
      </c>
      <c r="F753" s="6">
        <v>242.32</v>
      </c>
      <c r="G753" s="6">
        <v>39055</v>
      </c>
      <c r="H753" s="10">
        <f>(Table7[[#This Row],[close]]-F752)/F752</f>
        <v>-1.6877637130801676E-2</v>
      </c>
    </row>
    <row r="754" spans="1:8" x14ac:dyDescent="0.3">
      <c r="A754" s="5">
        <v>45807</v>
      </c>
      <c r="B754" s="6" t="s">
        <v>39</v>
      </c>
      <c r="C754" s="6">
        <v>246.04</v>
      </c>
      <c r="D754" s="6">
        <v>247.41</v>
      </c>
      <c r="E754" s="6">
        <v>244.66</v>
      </c>
      <c r="F754" s="6">
        <v>247.16</v>
      </c>
      <c r="G754" s="6">
        <v>40194</v>
      </c>
      <c r="H754" s="10">
        <f>(Table7[[#This Row],[close]]-F753)/F753</f>
        <v>1.9973588643116554E-2</v>
      </c>
    </row>
    <row r="755" spans="1:8" x14ac:dyDescent="0.3">
      <c r="A755" s="5">
        <v>45810</v>
      </c>
      <c r="B755" s="6" t="s">
        <v>39</v>
      </c>
      <c r="C755" s="6">
        <v>245.75</v>
      </c>
      <c r="D755" s="6">
        <v>247.22</v>
      </c>
      <c r="E755" s="6">
        <v>244.27</v>
      </c>
      <c r="F755" s="6">
        <v>244.85</v>
      </c>
      <c r="G755" s="6">
        <v>49367</v>
      </c>
      <c r="H755" s="10">
        <f>(Table7[[#This Row],[close]]-F754)/F754</f>
        <v>-9.3461725198252243E-3</v>
      </c>
    </row>
    <row r="756" spans="1:8" x14ac:dyDescent="0.3">
      <c r="A756" s="5">
        <v>45811</v>
      </c>
      <c r="B756" s="6" t="s">
        <v>39</v>
      </c>
      <c r="C756" s="6">
        <v>246.11</v>
      </c>
      <c r="D756" s="6">
        <v>249.43</v>
      </c>
      <c r="E756" s="6">
        <v>242.79</v>
      </c>
      <c r="F756" s="6">
        <v>245.51</v>
      </c>
      <c r="G756" s="6">
        <v>36531</v>
      </c>
      <c r="H756" s="10">
        <f>(Table7[[#This Row],[close]]-F755)/F755</f>
        <v>2.6955278742086851E-3</v>
      </c>
    </row>
    <row r="757" spans="1:8" x14ac:dyDescent="0.3">
      <c r="A757" s="5">
        <v>45812</v>
      </c>
      <c r="B757" s="6" t="s">
        <v>39</v>
      </c>
      <c r="C757" s="6">
        <v>243.51</v>
      </c>
      <c r="D757" s="6">
        <v>246.22</v>
      </c>
      <c r="E757" s="6">
        <v>240.8</v>
      </c>
      <c r="F757" s="6">
        <v>245.11</v>
      </c>
      <c r="G757" s="6">
        <v>4731</v>
      </c>
      <c r="H757" s="10">
        <f>(Table7[[#This Row],[close]]-F756)/F756</f>
        <v>-1.6292615372081678E-3</v>
      </c>
    </row>
    <row r="758" spans="1:8" x14ac:dyDescent="0.3">
      <c r="A758" s="5">
        <v>45813</v>
      </c>
      <c r="B758" s="6" t="s">
        <v>39</v>
      </c>
      <c r="C758" s="6">
        <v>242.59</v>
      </c>
      <c r="D758" s="6">
        <v>245.75</v>
      </c>
      <c r="E758" s="6">
        <v>239.44</v>
      </c>
      <c r="F758" s="6">
        <v>242.47</v>
      </c>
      <c r="G758" s="6">
        <v>27113</v>
      </c>
      <c r="H758" s="10">
        <f>(Table7[[#This Row],[close]]-F757)/F757</f>
        <v>-1.0770674391089774E-2</v>
      </c>
    </row>
    <row r="759" spans="1:8" x14ac:dyDescent="0.3">
      <c r="A759" s="5">
        <v>45814</v>
      </c>
      <c r="B759" s="6" t="s">
        <v>39</v>
      </c>
      <c r="C759" s="6">
        <v>238.72</v>
      </c>
      <c r="D759" s="6">
        <v>242.4</v>
      </c>
      <c r="E759" s="6">
        <v>235.04</v>
      </c>
      <c r="F759" s="6">
        <v>238.25</v>
      </c>
      <c r="G759" s="6">
        <v>21452</v>
      </c>
      <c r="H759" s="10">
        <f>(Table7[[#This Row],[close]]-F758)/F758</f>
        <v>-1.7404214954427347E-2</v>
      </c>
    </row>
    <row r="760" spans="1:8" x14ac:dyDescent="0.3">
      <c r="A760" s="5">
        <v>45817</v>
      </c>
      <c r="B760" s="6" t="s">
        <v>39</v>
      </c>
      <c r="C760" s="6">
        <v>232.56</v>
      </c>
      <c r="D760" s="6">
        <v>233.46</v>
      </c>
      <c r="E760" s="6">
        <v>231.67</v>
      </c>
      <c r="F760" s="6">
        <v>233.13</v>
      </c>
      <c r="G760" s="6">
        <v>42334</v>
      </c>
      <c r="H760" s="10">
        <f>(Table7[[#This Row],[close]]-F759)/F759</f>
        <v>-2.1490031479538318E-2</v>
      </c>
    </row>
    <row r="761" spans="1:8" x14ac:dyDescent="0.3">
      <c r="A761" s="5">
        <v>45818</v>
      </c>
      <c r="B761" s="6" t="s">
        <v>39</v>
      </c>
      <c r="C761" s="6">
        <v>232.92</v>
      </c>
      <c r="D761" s="6">
        <v>236.2</v>
      </c>
      <c r="E761" s="6">
        <v>229.64</v>
      </c>
      <c r="F761" s="6">
        <v>233.53</v>
      </c>
      <c r="G761" s="6">
        <v>22074</v>
      </c>
      <c r="H761" s="10">
        <f>(Table7[[#This Row],[close]]-F760)/F760</f>
        <v>1.715780894779761E-3</v>
      </c>
    </row>
    <row r="762" spans="1:8" x14ac:dyDescent="0.3">
      <c r="A762" s="5">
        <v>45819</v>
      </c>
      <c r="B762" s="6" t="s">
        <v>39</v>
      </c>
      <c r="C762" s="6">
        <v>230.01</v>
      </c>
      <c r="D762" s="6">
        <v>232.02</v>
      </c>
      <c r="E762" s="6">
        <v>228.01</v>
      </c>
      <c r="F762" s="6">
        <v>229.14</v>
      </c>
      <c r="G762" s="6">
        <v>17199</v>
      </c>
      <c r="H762" s="10">
        <f>(Table7[[#This Row],[close]]-F761)/F761</f>
        <v>-1.8798441313749904E-2</v>
      </c>
    </row>
    <row r="763" spans="1:8" x14ac:dyDescent="0.3">
      <c r="A763" s="5">
        <v>45820</v>
      </c>
      <c r="B763" s="6" t="s">
        <v>39</v>
      </c>
      <c r="C763" s="6">
        <v>224.82</v>
      </c>
      <c r="D763" s="6">
        <v>226.18</v>
      </c>
      <c r="E763" s="6">
        <v>223.46</v>
      </c>
      <c r="F763" s="6">
        <v>225.94</v>
      </c>
      <c r="G763" s="6">
        <v>20581</v>
      </c>
      <c r="H763" s="10">
        <f>(Table7[[#This Row],[close]]-F762)/F762</f>
        <v>-1.3965261412237012E-2</v>
      </c>
    </row>
    <row r="764" spans="1:8" x14ac:dyDescent="0.3">
      <c r="A764" s="5">
        <v>45821</v>
      </c>
      <c r="B764" s="6" t="s">
        <v>39</v>
      </c>
      <c r="C764" s="6">
        <v>225.83</v>
      </c>
      <c r="D764" s="6">
        <v>227.14</v>
      </c>
      <c r="E764" s="6">
        <v>224.51</v>
      </c>
      <c r="F764" s="6">
        <v>225.38</v>
      </c>
      <c r="G764" s="6">
        <v>17523</v>
      </c>
      <c r="H764" s="10">
        <f>(Table7[[#This Row],[close]]-F763)/F763</f>
        <v>-2.4785341241037543E-3</v>
      </c>
    </row>
    <row r="765" spans="1:8" x14ac:dyDescent="0.3">
      <c r="A765" s="5">
        <v>45824</v>
      </c>
      <c r="B765" s="6" t="s">
        <v>39</v>
      </c>
      <c r="C765" s="6">
        <v>218.69</v>
      </c>
      <c r="D765" s="6">
        <v>220.77</v>
      </c>
      <c r="E765" s="6">
        <v>216.6</v>
      </c>
      <c r="F765" s="6">
        <v>218.06</v>
      </c>
      <c r="G765" s="6">
        <v>11808</v>
      </c>
      <c r="H765" s="10">
        <f>(Table7[[#This Row],[close]]-F764)/F764</f>
        <v>-3.2478480788002452E-2</v>
      </c>
    </row>
    <row r="766" spans="1:8" x14ac:dyDescent="0.3">
      <c r="A766" s="5">
        <v>45825</v>
      </c>
      <c r="B766" s="6" t="s">
        <v>39</v>
      </c>
      <c r="C766" s="6">
        <v>220.86</v>
      </c>
      <c r="D766" s="6">
        <v>224.13</v>
      </c>
      <c r="E766" s="6">
        <v>217.6</v>
      </c>
      <c r="F766" s="6">
        <v>220.26</v>
      </c>
      <c r="G766" s="6">
        <v>1887</v>
      </c>
      <c r="H766" s="10">
        <f>(Table7[[#This Row],[close]]-F765)/F765</f>
        <v>1.0088966339539525E-2</v>
      </c>
    </row>
    <row r="767" spans="1:8" x14ac:dyDescent="0.3">
      <c r="A767" s="5">
        <v>45826</v>
      </c>
      <c r="B767" s="6" t="s">
        <v>39</v>
      </c>
      <c r="C767" s="6">
        <v>214.79</v>
      </c>
      <c r="D767" s="6">
        <v>217.08</v>
      </c>
      <c r="E767" s="6">
        <v>212.51</v>
      </c>
      <c r="F767" s="6">
        <v>213.73</v>
      </c>
      <c r="G767" s="6">
        <v>17402</v>
      </c>
      <c r="H767" s="10">
        <f>(Table7[[#This Row],[close]]-F766)/F766</f>
        <v>-2.9646781076909115E-2</v>
      </c>
    </row>
    <row r="768" spans="1:8" x14ac:dyDescent="0.3">
      <c r="A768" s="5">
        <v>45827</v>
      </c>
      <c r="B768" s="6" t="s">
        <v>39</v>
      </c>
      <c r="C768" s="6">
        <v>214.86</v>
      </c>
      <c r="D768" s="6">
        <v>216.46</v>
      </c>
      <c r="E768" s="6">
        <v>213.26</v>
      </c>
      <c r="F768" s="6">
        <v>213.57</v>
      </c>
      <c r="G768" s="6">
        <v>13253</v>
      </c>
      <c r="H768" s="10">
        <f>(Table7[[#This Row],[close]]-F767)/F767</f>
        <v>-7.4860805689419638E-4</v>
      </c>
    </row>
    <row r="769" spans="1:8" x14ac:dyDescent="0.3">
      <c r="A769" s="5">
        <v>45828</v>
      </c>
      <c r="B769" s="6" t="s">
        <v>39</v>
      </c>
      <c r="C769" s="6">
        <v>212.44</v>
      </c>
      <c r="D769" s="6">
        <v>215.26</v>
      </c>
      <c r="E769" s="6">
        <v>209.62</v>
      </c>
      <c r="F769" s="6">
        <v>213.66</v>
      </c>
      <c r="G769" s="6">
        <v>47220</v>
      </c>
      <c r="H769" s="10">
        <f>(Table7[[#This Row],[close]]-F768)/F768</f>
        <v>4.2140750105353476E-4</v>
      </c>
    </row>
    <row r="770" spans="1:8" x14ac:dyDescent="0.3">
      <c r="A770" s="5">
        <v>45831</v>
      </c>
      <c r="B770" s="6" t="s">
        <v>39</v>
      </c>
      <c r="C770" s="6">
        <v>215.28</v>
      </c>
      <c r="D770" s="6">
        <v>218.54</v>
      </c>
      <c r="E770" s="6">
        <v>212.01</v>
      </c>
      <c r="F770" s="6">
        <v>215.17</v>
      </c>
      <c r="G770" s="6">
        <v>46270</v>
      </c>
      <c r="H770" s="10">
        <f>(Table7[[#This Row],[close]]-F769)/F769</f>
        <v>7.0673031919872269E-3</v>
      </c>
    </row>
    <row r="771" spans="1:8" x14ac:dyDescent="0.3">
      <c r="A771" s="5">
        <v>45832</v>
      </c>
      <c r="B771" s="6" t="s">
        <v>39</v>
      </c>
      <c r="C771" s="6">
        <v>214.63</v>
      </c>
      <c r="D771" s="6">
        <v>215.96</v>
      </c>
      <c r="E771" s="6">
        <v>213.3</v>
      </c>
      <c r="F771" s="6">
        <v>215.1</v>
      </c>
      <c r="G771" s="6">
        <v>39709</v>
      </c>
      <c r="H771" s="10">
        <f>(Table7[[#This Row],[close]]-F770)/F770</f>
        <v>-3.253241622902504E-4</v>
      </c>
    </row>
    <row r="772" spans="1:8" x14ac:dyDescent="0.3">
      <c r="A772" s="5">
        <v>45833</v>
      </c>
      <c r="B772" s="6" t="s">
        <v>39</v>
      </c>
      <c r="C772" s="6">
        <v>219.84</v>
      </c>
      <c r="D772" s="6">
        <v>223.35</v>
      </c>
      <c r="E772" s="6">
        <v>216.32</v>
      </c>
      <c r="F772" s="6">
        <v>220.69</v>
      </c>
      <c r="G772" s="6">
        <v>16166</v>
      </c>
      <c r="H772" s="10">
        <f>(Table7[[#This Row],[close]]-F771)/F771</f>
        <v>2.5987912598791275E-2</v>
      </c>
    </row>
    <row r="773" spans="1:8" x14ac:dyDescent="0.3">
      <c r="A773" s="5">
        <v>45834</v>
      </c>
      <c r="B773" s="6" t="s">
        <v>39</v>
      </c>
      <c r="C773" s="6">
        <v>220.14</v>
      </c>
      <c r="D773" s="6">
        <v>223.26</v>
      </c>
      <c r="E773" s="6">
        <v>217.01</v>
      </c>
      <c r="F773" s="6">
        <v>221.35</v>
      </c>
      <c r="G773" s="6">
        <v>39556</v>
      </c>
      <c r="H773" s="10">
        <f>(Table7[[#This Row],[close]]-F772)/F772</f>
        <v>2.9906203271557233E-3</v>
      </c>
    </row>
    <row r="774" spans="1:8" x14ac:dyDescent="0.3">
      <c r="A774" s="5">
        <v>45835</v>
      </c>
      <c r="B774" s="6" t="s">
        <v>39</v>
      </c>
      <c r="C774" s="6">
        <v>226.32</v>
      </c>
      <c r="D774" s="6">
        <v>228.75</v>
      </c>
      <c r="E774" s="6">
        <v>223.9</v>
      </c>
      <c r="F774" s="6">
        <v>224.36</v>
      </c>
      <c r="G774" s="6">
        <v>41505</v>
      </c>
      <c r="H774" s="10">
        <f>(Table7[[#This Row],[close]]-F773)/F773</f>
        <v>1.3598373616444632E-2</v>
      </c>
    </row>
    <row r="775" spans="1:8" x14ac:dyDescent="0.3">
      <c r="A775" s="5">
        <v>45838</v>
      </c>
      <c r="B775" s="6" t="s">
        <v>39</v>
      </c>
      <c r="C775" s="6">
        <v>221.73</v>
      </c>
      <c r="D775" s="6">
        <v>222.88</v>
      </c>
      <c r="E775" s="6">
        <v>220.58</v>
      </c>
      <c r="F775" s="6">
        <v>222.38</v>
      </c>
      <c r="G775" s="6">
        <v>2988</v>
      </c>
      <c r="H775" s="10">
        <f>(Table7[[#This Row],[close]]-F774)/F774</f>
        <v>-8.8251025138171603E-3</v>
      </c>
    </row>
    <row r="776" spans="1:8" x14ac:dyDescent="0.3">
      <c r="A776" s="5">
        <v>45658</v>
      </c>
      <c r="B776" s="6" t="s">
        <v>41</v>
      </c>
      <c r="C776" s="6">
        <v>451.6</v>
      </c>
      <c r="D776" s="6">
        <v>456.73</v>
      </c>
      <c r="E776" s="6">
        <v>446.47</v>
      </c>
      <c r="F776" s="6">
        <v>453.01</v>
      </c>
      <c r="G776" s="6">
        <v>33115</v>
      </c>
      <c r="H776" s="10">
        <f>(Table7[[#This Row],[close]]-F775)/F775</f>
        <v>1.0370986599514345</v>
      </c>
    </row>
    <row r="777" spans="1:8" x14ac:dyDescent="0.3">
      <c r="A777" s="5">
        <v>45659</v>
      </c>
      <c r="B777" s="6" t="s">
        <v>41</v>
      </c>
      <c r="C777" s="6">
        <v>455.77</v>
      </c>
      <c r="D777" s="6">
        <v>457.35</v>
      </c>
      <c r="E777" s="6">
        <v>454.19</v>
      </c>
      <c r="F777" s="6">
        <v>455.26</v>
      </c>
      <c r="G777" s="6">
        <v>6520</v>
      </c>
      <c r="H777" s="10">
        <f>(Table7[[#This Row],[close]]-F776)/F776</f>
        <v>4.9667777753250484E-3</v>
      </c>
    </row>
    <row r="778" spans="1:8" x14ac:dyDescent="0.3">
      <c r="A778" s="5">
        <v>45660</v>
      </c>
      <c r="B778" s="6" t="s">
        <v>41</v>
      </c>
      <c r="C778" s="6">
        <v>450.26</v>
      </c>
      <c r="D778" s="6">
        <v>457.49</v>
      </c>
      <c r="E778" s="6">
        <v>443.03</v>
      </c>
      <c r="F778" s="6">
        <v>450.82</v>
      </c>
      <c r="G778" s="6">
        <v>42605</v>
      </c>
      <c r="H778" s="10">
        <f>(Table7[[#This Row],[close]]-F777)/F777</f>
        <v>-9.7526688046391027E-3</v>
      </c>
    </row>
    <row r="779" spans="1:8" x14ac:dyDescent="0.3">
      <c r="A779" s="5">
        <v>45663</v>
      </c>
      <c r="B779" s="6" t="s">
        <v>41</v>
      </c>
      <c r="C779" s="6">
        <v>453.35</v>
      </c>
      <c r="D779" s="6">
        <v>458.26</v>
      </c>
      <c r="E779" s="6">
        <v>448.45</v>
      </c>
      <c r="F779" s="6">
        <v>451.13</v>
      </c>
      <c r="G779" s="6">
        <v>14045</v>
      </c>
      <c r="H779" s="10">
        <f>(Table7[[#This Row],[close]]-F778)/F778</f>
        <v>6.8763586353755887E-4</v>
      </c>
    </row>
    <row r="780" spans="1:8" x14ac:dyDescent="0.3">
      <c r="A780" s="5">
        <v>45664</v>
      </c>
      <c r="B780" s="6" t="s">
        <v>41</v>
      </c>
      <c r="C780" s="6">
        <v>453.76</v>
      </c>
      <c r="D780" s="6">
        <v>454.22</v>
      </c>
      <c r="E780" s="6">
        <v>453.29</v>
      </c>
      <c r="F780" s="6">
        <v>453.47</v>
      </c>
      <c r="G780" s="6">
        <v>31954</v>
      </c>
      <c r="H780" s="10">
        <f>(Table7[[#This Row],[close]]-F779)/F779</f>
        <v>5.1869749296212441E-3</v>
      </c>
    </row>
    <row r="781" spans="1:8" x14ac:dyDescent="0.3">
      <c r="A781" s="5">
        <v>45665</v>
      </c>
      <c r="B781" s="6" t="s">
        <v>41</v>
      </c>
      <c r="C781" s="6">
        <v>467.12</v>
      </c>
      <c r="D781" s="6">
        <v>474.67</v>
      </c>
      <c r="E781" s="6">
        <v>459.57</v>
      </c>
      <c r="F781" s="6">
        <v>467.82</v>
      </c>
      <c r="G781" s="6">
        <v>22113</v>
      </c>
      <c r="H781" s="10">
        <f>(Table7[[#This Row],[close]]-F780)/F780</f>
        <v>3.1644871766599698E-2</v>
      </c>
    </row>
    <row r="782" spans="1:8" x14ac:dyDescent="0.3">
      <c r="A782" s="5">
        <v>45666</v>
      </c>
      <c r="B782" s="6" t="s">
        <v>41</v>
      </c>
      <c r="C782" s="6">
        <v>473.5</v>
      </c>
      <c r="D782" s="6">
        <v>475.67</v>
      </c>
      <c r="E782" s="6">
        <v>471.33</v>
      </c>
      <c r="F782" s="6">
        <v>472.33</v>
      </c>
      <c r="G782" s="6">
        <v>44939</v>
      </c>
      <c r="H782" s="10">
        <f>(Table7[[#This Row],[close]]-F781)/F781</f>
        <v>9.640460005985188E-3</v>
      </c>
    </row>
    <row r="783" spans="1:8" x14ac:dyDescent="0.3">
      <c r="A783" s="5">
        <v>45667</v>
      </c>
      <c r="B783" s="6" t="s">
        <v>41</v>
      </c>
      <c r="C783" s="6">
        <v>480.18</v>
      </c>
      <c r="D783" s="6">
        <v>481.77</v>
      </c>
      <c r="E783" s="6">
        <v>478.6</v>
      </c>
      <c r="F783" s="6">
        <v>480.63</v>
      </c>
      <c r="G783" s="6">
        <v>27829</v>
      </c>
      <c r="H783" s="10">
        <f>(Table7[[#This Row],[close]]-F782)/F782</f>
        <v>1.7572459932674214E-2</v>
      </c>
    </row>
    <row r="784" spans="1:8" x14ac:dyDescent="0.3">
      <c r="A784" s="5">
        <v>45670</v>
      </c>
      <c r="B784" s="6" t="s">
        <v>41</v>
      </c>
      <c r="C784" s="6">
        <v>491.84</v>
      </c>
      <c r="D784" s="6">
        <v>493.86</v>
      </c>
      <c r="E784" s="6">
        <v>489.82</v>
      </c>
      <c r="F784" s="6">
        <v>492.22</v>
      </c>
      <c r="G784" s="6">
        <v>32870</v>
      </c>
      <c r="H784" s="10">
        <f>(Table7[[#This Row],[close]]-F783)/F783</f>
        <v>2.4114183467532264E-2</v>
      </c>
    </row>
    <row r="785" spans="1:8" x14ac:dyDescent="0.3">
      <c r="A785" s="5">
        <v>45671</v>
      </c>
      <c r="B785" s="6" t="s">
        <v>41</v>
      </c>
      <c r="C785" s="6">
        <v>495.45</v>
      </c>
      <c r="D785" s="6">
        <v>497.7</v>
      </c>
      <c r="E785" s="6">
        <v>493.2</v>
      </c>
      <c r="F785" s="6">
        <v>495.38</v>
      </c>
      <c r="G785" s="6">
        <v>38275</v>
      </c>
      <c r="H785" s="10">
        <f>(Table7[[#This Row],[close]]-F784)/F784</f>
        <v>6.4198935435373777E-3</v>
      </c>
    </row>
    <row r="786" spans="1:8" x14ac:dyDescent="0.3">
      <c r="A786" s="5">
        <v>45672</v>
      </c>
      <c r="B786" s="6" t="s">
        <v>41</v>
      </c>
      <c r="C786" s="6">
        <v>495.22</v>
      </c>
      <c r="D786" s="6">
        <v>502.97</v>
      </c>
      <c r="E786" s="6">
        <v>487.48</v>
      </c>
      <c r="F786" s="6">
        <v>497.28</v>
      </c>
      <c r="G786" s="6">
        <v>9328</v>
      </c>
      <c r="H786" s="10">
        <f>(Table7[[#This Row],[close]]-F785)/F785</f>
        <v>3.835439460616047E-3</v>
      </c>
    </row>
    <row r="787" spans="1:8" x14ac:dyDescent="0.3">
      <c r="A787" s="5">
        <v>45673</v>
      </c>
      <c r="B787" s="6" t="s">
        <v>41</v>
      </c>
      <c r="C787" s="6">
        <v>490.7</v>
      </c>
      <c r="D787" s="6">
        <v>494.84</v>
      </c>
      <c r="E787" s="6">
        <v>486.55</v>
      </c>
      <c r="F787" s="6">
        <v>490.76</v>
      </c>
      <c r="G787" s="6">
        <v>36010</v>
      </c>
      <c r="H787" s="10">
        <f>(Table7[[#This Row],[close]]-F786)/F786</f>
        <v>-1.3111325611325575E-2</v>
      </c>
    </row>
    <row r="788" spans="1:8" x14ac:dyDescent="0.3">
      <c r="A788" s="5">
        <v>45674</v>
      </c>
      <c r="B788" s="6" t="s">
        <v>41</v>
      </c>
      <c r="C788" s="6">
        <v>490.13</v>
      </c>
      <c r="D788" s="6">
        <v>496.99</v>
      </c>
      <c r="E788" s="6">
        <v>483.28</v>
      </c>
      <c r="F788" s="6">
        <v>490.16</v>
      </c>
      <c r="G788" s="6">
        <v>9640</v>
      </c>
      <c r="H788" s="10">
        <f>(Table7[[#This Row],[close]]-F787)/F787</f>
        <v>-1.2225935284048534E-3</v>
      </c>
    </row>
    <row r="789" spans="1:8" x14ac:dyDescent="0.3">
      <c r="A789" s="5">
        <v>45677</v>
      </c>
      <c r="B789" s="6" t="s">
        <v>41</v>
      </c>
      <c r="C789" s="6">
        <v>485.23</v>
      </c>
      <c r="D789" s="6">
        <v>487.81</v>
      </c>
      <c r="E789" s="6">
        <v>482.65</v>
      </c>
      <c r="F789" s="6">
        <v>485.83</v>
      </c>
      <c r="G789" s="6">
        <v>38004</v>
      </c>
      <c r="H789" s="10">
        <f>(Table7[[#This Row],[close]]-F788)/F788</f>
        <v>-8.8338501713726963E-3</v>
      </c>
    </row>
    <row r="790" spans="1:8" x14ac:dyDescent="0.3">
      <c r="A790" s="5">
        <v>45678</v>
      </c>
      <c r="B790" s="6" t="s">
        <v>41</v>
      </c>
      <c r="C790" s="6">
        <v>484.65</v>
      </c>
      <c r="D790" s="6">
        <v>491.91</v>
      </c>
      <c r="E790" s="6">
        <v>477.39</v>
      </c>
      <c r="F790" s="6">
        <v>483.5</v>
      </c>
      <c r="G790" s="6">
        <v>13207</v>
      </c>
      <c r="H790" s="10">
        <f>(Table7[[#This Row],[close]]-F789)/F789</f>
        <v>-4.7959162670069451E-3</v>
      </c>
    </row>
    <row r="791" spans="1:8" x14ac:dyDescent="0.3">
      <c r="A791" s="5">
        <v>45679</v>
      </c>
      <c r="B791" s="6" t="s">
        <v>41</v>
      </c>
      <c r="C791" s="6">
        <v>496.37</v>
      </c>
      <c r="D791" s="6">
        <v>504.5</v>
      </c>
      <c r="E791" s="6">
        <v>488.25</v>
      </c>
      <c r="F791" s="6">
        <v>495.14</v>
      </c>
      <c r="G791" s="6">
        <v>29916</v>
      </c>
      <c r="H791" s="10">
        <f>(Table7[[#This Row],[close]]-F790)/F790</f>
        <v>2.4074457083764191E-2</v>
      </c>
    </row>
    <row r="792" spans="1:8" x14ac:dyDescent="0.3">
      <c r="A792" s="5">
        <v>45680</v>
      </c>
      <c r="B792" s="6" t="s">
        <v>41</v>
      </c>
      <c r="C792" s="6">
        <v>494.89</v>
      </c>
      <c r="D792" s="6">
        <v>497.14</v>
      </c>
      <c r="E792" s="6">
        <v>492.63</v>
      </c>
      <c r="F792" s="6">
        <v>495.98</v>
      </c>
      <c r="G792" s="6">
        <v>20071</v>
      </c>
      <c r="H792" s="10">
        <f>(Table7[[#This Row],[close]]-F791)/F791</f>
        <v>1.6964898816496988E-3</v>
      </c>
    </row>
    <row r="793" spans="1:8" x14ac:dyDescent="0.3">
      <c r="A793" s="5">
        <v>45681</v>
      </c>
      <c r="B793" s="6" t="s">
        <v>41</v>
      </c>
      <c r="C793" s="6">
        <v>492.95</v>
      </c>
      <c r="D793" s="6">
        <v>500.27</v>
      </c>
      <c r="E793" s="6">
        <v>485.62</v>
      </c>
      <c r="F793" s="6">
        <v>490.65</v>
      </c>
      <c r="G793" s="6">
        <v>16810</v>
      </c>
      <c r="H793" s="10">
        <f>(Table7[[#This Row],[close]]-F792)/F792</f>
        <v>-1.0746401064559137E-2</v>
      </c>
    </row>
    <row r="794" spans="1:8" x14ac:dyDescent="0.3">
      <c r="A794" s="5">
        <v>45684</v>
      </c>
      <c r="B794" s="6" t="s">
        <v>41</v>
      </c>
      <c r="C794" s="6">
        <v>497.83</v>
      </c>
      <c r="D794" s="6">
        <v>501.38</v>
      </c>
      <c r="E794" s="6">
        <v>494.27</v>
      </c>
      <c r="F794" s="6">
        <v>499.34</v>
      </c>
      <c r="G794" s="6">
        <v>26396</v>
      </c>
      <c r="H794" s="10">
        <f>(Table7[[#This Row],[close]]-F793)/F793</f>
        <v>1.7711199429328438E-2</v>
      </c>
    </row>
    <row r="795" spans="1:8" x14ac:dyDescent="0.3">
      <c r="A795" s="5">
        <v>45685</v>
      </c>
      <c r="B795" s="6" t="s">
        <v>41</v>
      </c>
      <c r="C795" s="6">
        <v>506.34</v>
      </c>
      <c r="D795" s="6">
        <v>513.36</v>
      </c>
      <c r="E795" s="6">
        <v>499.33</v>
      </c>
      <c r="F795" s="6">
        <v>505.51</v>
      </c>
      <c r="G795" s="6">
        <v>40082</v>
      </c>
      <c r="H795" s="10">
        <f>(Table7[[#This Row],[close]]-F794)/F794</f>
        <v>1.2356310329635151E-2</v>
      </c>
    </row>
    <row r="796" spans="1:8" x14ac:dyDescent="0.3">
      <c r="A796" s="5">
        <v>45686</v>
      </c>
      <c r="B796" s="6" t="s">
        <v>41</v>
      </c>
      <c r="C796" s="6">
        <v>510.01</v>
      </c>
      <c r="D796" s="6">
        <v>512.79999999999995</v>
      </c>
      <c r="E796" s="6">
        <v>507.23</v>
      </c>
      <c r="F796" s="6">
        <v>512.09</v>
      </c>
      <c r="G796" s="6">
        <v>41142</v>
      </c>
      <c r="H796" s="10">
        <f>(Table7[[#This Row],[close]]-F795)/F795</f>
        <v>1.301655753595387E-2</v>
      </c>
    </row>
    <row r="797" spans="1:8" x14ac:dyDescent="0.3">
      <c r="A797" s="5">
        <v>45687</v>
      </c>
      <c r="B797" s="6" t="s">
        <v>41</v>
      </c>
      <c r="C797" s="6">
        <v>502.74</v>
      </c>
      <c r="D797" s="6">
        <v>508.27</v>
      </c>
      <c r="E797" s="6">
        <v>497.21</v>
      </c>
      <c r="F797" s="6">
        <v>499.43</v>
      </c>
      <c r="G797" s="6">
        <v>48897</v>
      </c>
      <c r="H797" s="10">
        <f>(Table7[[#This Row],[close]]-F796)/F796</f>
        <v>-2.4722216797828555E-2</v>
      </c>
    </row>
    <row r="798" spans="1:8" x14ac:dyDescent="0.3">
      <c r="A798" s="5">
        <v>45688</v>
      </c>
      <c r="B798" s="6" t="s">
        <v>41</v>
      </c>
      <c r="C798" s="6">
        <v>513.21</v>
      </c>
      <c r="D798" s="6">
        <v>514.54999999999995</v>
      </c>
      <c r="E798" s="6">
        <v>511.86</v>
      </c>
      <c r="F798" s="6">
        <v>511.96</v>
      </c>
      <c r="G798" s="6">
        <v>40579</v>
      </c>
      <c r="H798" s="10">
        <f>(Table7[[#This Row],[close]]-F797)/F797</f>
        <v>2.5088601005145813E-2</v>
      </c>
    </row>
    <row r="799" spans="1:8" x14ac:dyDescent="0.3">
      <c r="A799" s="5">
        <v>45691</v>
      </c>
      <c r="B799" s="6" t="s">
        <v>41</v>
      </c>
      <c r="C799" s="6">
        <v>508.21</v>
      </c>
      <c r="D799" s="6">
        <v>515.58000000000004</v>
      </c>
      <c r="E799" s="6">
        <v>500.84</v>
      </c>
      <c r="F799" s="6">
        <v>508.49</v>
      </c>
      <c r="G799" s="6">
        <v>34272</v>
      </c>
      <c r="H799" s="10">
        <f>(Table7[[#This Row],[close]]-F798)/F798</f>
        <v>-6.7778732713492671E-3</v>
      </c>
    </row>
    <row r="800" spans="1:8" x14ac:dyDescent="0.3">
      <c r="A800" s="5">
        <v>45692</v>
      </c>
      <c r="B800" s="6" t="s">
        <v>41</v>
      </c>
      <c r="C800" s="6">
        <v>517.07000000000005</v>
      </c>
      <c r="D800" s="6">
        <v>522.6</v>
      </c>
      <c r="E800" s="6">
        <v>511.53</v>
      </c>
      <c r="F800" s="6">
        <v>513.62</v>
      </c>
      <c r="G800" s="6">
        <v>26963</v>
      </c>
      <c r="H800" s="10">
        <f>(Table7[[#This Row],[close]]-F799)/F799</f>
        <v>1.008869397628271E-2</v>
      </c>
    </row>
    <row r="801" spans="1:8" x14ac:dyDescent="0.3">
      <c r="A801" s="5">
        <v>45693</v>
      </c>
      <c r="B801" s="6" t="s">
        <v>41</v>
      </c>
      <c r="C801" s="6">
        <v>527.91</v>
      </c>
      <c r="D801" s="6">
        <v>533.88</v>
      </c>
      <c r="E801" s="6">
        <v>521.95000000000005</v>
      </c>
      <c r="F801" s="6">
        <v>530.34</v>
      </c>
      <c r="G801" s="6">
        <v>1717</v>
      </c>
      <c r="H801" s="10">
        <f>(Table7[[#This Row],[close]]-F800)/F800</f>
        <v>3.2553249484054414E-2</v>
      </c>
    </row>
    <row r="802" spans="1:8" x14ac:dyDescent="0.3">
      <c r="A802" s="5">
        <v>45694</v>
      </c>
      <c r="B802" s="6" t="s">
        <v>41</v>
      </c>
      <c r="C802" s="6">
        <v>543.38</v>
      </c>
      <c r="D802" s="6">
        <v>550.64</v>
      </c>
      <c r="E802" s="6">
        <v>536.13</v>
      </c>
      <c r="F802" s="6">
        <v>545.07000000000005</v>
      </c>
      <c r="G802" s="6">
        <v>30100</v>
      </c>
      <c r="H802" s="10">
        <f>(Table7[[#This Row],[close]]-F801)/F801</f>
        <v>2.7774635139721719E-2</v>
      </c>
    </row>
    <row r="803" spans="1:8" x14ac:dyDescent="0.3">
      <c r="A803" s="5">
        <v>45695</v>
      </c>
      <c r="B803" s="6" t="s">
        <v>41</v>
      </c>
      <c r="C803" s="6">
        <v>541.05999999999995</v>
      </c>
      <c r="D803" s="6">
        <v>543.74</v>
      </c>
      <c r="E803" s="6">
        <v>538.38</v>
      </c>
      <c r="F803" s="6">
        <v>538.53</v>
      </c>
      <c r="G803" s="6">
        <v>44949</v>
      </c>
      <c r="H803" s="10">
        <f>(Table7[[#This Row],[close]]-F802)/F802</f>
        <v>-1.1998458913534182E-2</v>
      </c>
    </row>
    <row r="804" spans="1:8" x14ac:dyDescent="0.3">
      <c r="A804" s="5">
        <v>45698</v>
      </c>
      <c r="B804" s="6" t="s">
        <v>41</v>
      </c>
      <c r="C804" s="6">
        <v>526.74</v>
      </c>
      <c r="D804" s="6">
        <v>533.04</v>
      </c>
      <c r="E804" s="6">
        <v>520.44000000000005</v>
      </c>
      <c r="F804" s="6">
        <v>528.94000000000005</v>
      </c>
      <c r="G804" s="6">
        <v>44442</v>
      </c>
      <c r="H804" s="10">
        <f>(Table7[[#This Row],[close]]-F803)/F803</f>
        <v>-1.7807735873581636E-2</v>
      </c>
    </row>
    <row r="805" spans="1:8" x14ac:dyDescent="0.3">
      <c r="A805" s="5">
        <v>45699</v>
      </c>
      <c r="B805" s="6" t="s">
        <v>41</v>
      </c>
      <c r="C805" s="6">
        <v>539.08000000000004</v>
      </c>
      <c r="D805" s="6">
        <v>541.71</v>
      </c>
      <c r="E805" s="6">
        <v>536.45000000000005</v>
      </c>
      <c r="F805" s="6">
        <v>538.69000000000005</v>
      </c>
      <c r="G805" s="6">
        <v>37487</v>
      </c>
      <c r="H805" s="10">
        <f>(Table7[[#This Row],[close]]-F804)/F804</f>
        <v>1.8433092600294926E-2</v>
      </c>
    </row>
    <row r="806" spans="1:8" x14ac:dyDescent="0.3">
      <c r="A806" s="5">
        <v>45700</v>
      </c>
      <c r="B806" s="6" t="s">
        <v>41</v>
      </c>
      <c r="C806" s="6">
        <v>542.41999999999996</v>
      </c>
      <c r="D806" s="6">
        <v>549.25</v>
      </c>
      <c r="E806" s="6">
        <v>535.58000000000004</v>
      </c>
      <c r="F806" s="6">
        <v>539.78</v>
      </c>
      <c r="G806" s="6">
        <v>39759</v>
      </c>
      <c r="H806" s="10">
        <f>(Table7[[#This Row],[close]]-F805)/F805</f>
        <v>2.0234272030294196E-3</v>
      </c>
    </row>
    <row r="807" spans="1:8" x14ac:dyDescent="0.3">
      <c r="A807" s="5">
        <v>45701</v>
      </c>
      <c r="B807" s="6" t="s">
        <v>41</v>
      </c>
      <c r="C807" s="6">
        <v>541.35</v>
      </c>
      <c r="D807" s="6">
        <v>546.9</v>
      </c>
      <c r="E807" s="6">
        <v>535.79999999999995</v>
      </c>
      <c r="F807" s="6">
        <v>536.51</v>
      </c>
      <c r="G807" s="6">
        <v>12064</v>
      </c>
      <c r="H807" s="10">
        <f>(Table7[[#This Row],[close]]-F806)/F806</f>
        <v>-6.0580236392604059E-3</v>
      </c>
    </row>
    <row r="808" spans="1:8" x14ac:dyDescent="0.3">
      <c r="A808" s="5">
        <v>45702</v>
      </c>
      <c r="B808" s="6" t="s">
        <v>41</v>
      </c>
      <c r="C808" s="6">
        <v>543.73</v>
      </c>
      <c r="D808" s="6">
        <v>551.48</v>
      </c>
      <c r="E808" s="6">
        <v>535.99</v>
      </c>
      <c r="F808" s="6">
        <v>540.86</v>
      </c>
      <c r="G808" s="6">
        <v>7476</v>
      </c>
      <c r="H808" s="10">
        <f>(Table7[[#This Row],[close]]-F807)/F807</f>
        <v>8.1079569812305876E-3</v>
      </c>
    </row>
    <row r="809" spans="1:8" x14ac:dyDescent="0.3">
      <c r="A809" s="5">
        <v>45705</v>
      </c>
      <c r="B809" s="6" t="s">
        <v>41</v>
      </c>
      <c r="C809" s="6">
        <v>541.88</v>
      </c>
      <c r="D809" s="6">
        <v>548.55999999999995</v>
      </c>
      <c r="E809" s="6">
        <v>535.20000000000005</v>
      </c>
      <c r="F809" s="6">
        <v>539.88</v>
      </c>
      <c r="G809" s="6">
        <v>23463</v>
      </c>
      <c r="H809" s="10">
        <f>(Table7[[#This Row],[close]]-F808)/F808</f>
        <v>-1.8119291498724589E-3</v>
      </c>
    </row>
    <row r="810" spans="1:8" x14ac:dyDescent="0.3">
      <c r="A810" s="5">
        <v>45706</v>
      </c>
      <c r="B810" s="6" t="s">
        <v>41</v>
      </c>
      <c r="C810" s="6">
        <v>549.70000000000005</v>
      </c>
      <c r="D810" s="6">
        <v>555.07000000000005</v>
      </c>
      <c r="E810" s="6">
        <v>544.33000000000004</v>
      </c>
      <c r="F810" s="6">
        <v>544.79999999999995</v>
      </c>
      <c r="G810" s="6">
        <v>27946</v>
      </c>
      <c r="H810" s="10">
        <f>(Table7[[#This Row],[close]]-F809)/F809</f>
        <v>9.1131362525004797E-3</v>
      </c>
    </row>
    <row r="811" spans="1:8" x14ac:dyDescent="0.3">
      <c r="A811" s="5">
        <v>45707</v>
      </c>
      <c r="B811" s="6" t="s">
        <v>41</v>
      </c>
      <c r="C811" s="6">
        <v>544.67999999999995</v>
      </c>
      <c r="D811" s="6">
        <v>547.79</v>
      </c>
      <c r="E811" s="6">
        <v>541.57000000000005</v>
      </c>
      <c r="F811" s="6">
        <v>545.39</v>
      </c>
      <c r="G811" s="6">
        <v>23335</v>
      </c>
      <c r="H811" s="10">
        <f>(Table7[[#This Row],[close]]-F810)/F810</f>
        <v>1.0829662261380908E-3</v>
      </c>
    </row>
    <row r="812" spans="1:8" x14ac:dyDescent="0.3">
      <c r="A812" s="5">
        <v>45708</v>
      </c>
      <c r="B812" s="6" t="s">
        <v>41</v>
      </c>
      <c r="C812" s="6">
        <v>549.97</v>
      </c>
      <c r="D812" s="6">
        <v>557.21</v>
      </c>
      <c r="E812" s="6">
        <v>542.73</v>
      </c>
      <c r="F812" s="6">
        <v>550.51</v>
      </c>
      <c r="G812" s="6">
        <v>23010</v>
      </c>
      <c r="H812" s="10">
        <f>(Table7[[#This Row],[close]]-F811)/F811</f>
        <v>9.3877775536771943E-3</v>
      </c>
    </row>
    <row r="813" spans="1:8" x14ac:dyDescent="0.3">
      <c r="A813" s="5">
        <v>45709</v>
      </c>
      <c r="B813" s="6" t="s">
        <v>41</v>
      </c>
      <c r="C813" s="6">
        <v>546.23</v>
      </c>
      <c r="D813" s="6">
        <v>548.49</v>
      </c>
      <c r="E813" s="6">
        <v>543.97</v>
      </c>
      <c r="F813" s="6">
        <v>544.47</v>
      </c>
      <c r="G813" s="6">
        <v>44626</v>
      </c>
      <c r="H813" s="10">
        <f>(Table7[[#This Row],[close]]-F812)/F812</f>
        <v>-1.0971644475123003E-2</v>
      </c>
    </row>
    <row r="814" spans="1:8" x14ac:dyDescent="0.3">
      <c r="A814" s="5">
        <v>45712</v>
      </c>
      <c r="B814" s="6" t="s">
        <v>41</v>
      </c>
      <c r="C814" s="6">
        <v>557.51</v>
      </c>
      <c r="D814" s="6">
        <v>564.76</v>
      </c>
      <c r="E814" s="6">
        <v>550.25</v>
      </c>
      <c r="F814" s="6">
        <v>554.46</v>
      </c>
      <c r="G814" s="6">
        <v>34665</v>
      </c>
      <c r="H814" s="10">
        <f>(Table7[[#This Row],[close]]-F813)/F813</f>
        <v>1.8348118353628314E-2</v>
      </c>
    </row>
    <row r="815" spans="1:8" x14ac:dyDescent="0.3">
      <c r="A815" s="5">
        <v>45713</v>
      </c>
      <c r="B815" s="6" t="s">
        <v>41</v>
      </c>
      <c r="C815" s="6">
        <v>560.48</v>
      </c>
      <c r="D815" s="6">
        <v>566.89</v>
      </c>
      <c r="E815" s="6">
        <v>554.07000000000005</v>
      </c>
      <c r="F815" s="6">
        <v>559.49</v>
      </c>
      <c r="G815" s="6">
        <v>15683</v>
      </c>
      <c r="H815" s="10">
        <f>(Table7[[#This Row],[close]]-F814)/F814</f>
        <v>9.0718897666197239E-3</v>
      </c>
    </row>
    <row r="816" spans="1:8" x14ac:dyDescent="0.3">
      <c r="A816" s="5">
        <v>45714</v>
      </c>
      <c r="B816" s="6" t="s">
        <v>41</v>
      </c>
      <c r="C816" s="6">
        <v>567.22</v>
      </c>
      <c r="D816" s="6">
        <v>571.33000000000004</v>
      </c>
      <c r="E816" s="6">
        <v>563.12</v>
      </c>
      <c r="F816" s="6">
        <v>564.19000000000005</v>
      </c>
      <c r="G816" s="6">
        <v>45535</v>
      </c>
      <c r="H816" s="10">
        <f>(Table7[[#This Row],[close]]-F815)/F815</f>
        <v>8.4005076051404774E-3</v>
      </c>
    </row>
    <row r="817" spans="1:8" x14ac:dyDescent="0.3">
      <c r="A817" s="5">
        <v>45715</v>
      </c>
      <c r="B817" s="6" t="s">
        <v>41</v>
      </c>
      <c r="C817" s="6">
        <v>559.12</v>
      </c>
      <c r="D817" s="6">
        <v>562.54</v>
      </c>
      <c r="E817" s="6">
        <v>555.70000000000005</v>
      </c>
      <c r="F817" s="6">
        <v>556.44000000000005</v>
      </c>
      <c r="G817" s="6">
        <v>22639</v>
      </c>
      <c r="H817" s="10">
        <f>(Table7[[#This Row],[close]]-F816)/F816</f>
        <v>-1.3736507205019585E-2</v>
      </c>
    </row>
    <row r="818" spans="1:8" x14ac:dyDescent="0.3">
      <c r="A818" s="5">
        <v>45716</v>
      </c>
      <c r="B818" s="6" t="s">
        <v>41</v>
      </c>
      <c r="C818" s="6">
        <v>567.91999999999996</v>
      </c>
      <c r="D818" s="6">
        <v>573.46</v>
      </c>
      <c r="E818" s="6">
        <v>562.38</v>
      </c>
      <c r="F818" s="6">
        <v>568.62</v>
      </c>
      <c r="G818" s="6">
        <v>4439</v>
      </c>
      <c r="H818" s="10">
        <f>(Table7[[#This Row],[close]]-F817)/F817</f>
        <v>2.1889152469268831E-2</v>
      </c>
    </row>
    <row r="819" spans="1:8" x14ac:dyDescent="0.3">
      <c r="A819" s="5">
        <v>45719</v>
      </c>
      <c r="B819" s="6" t="s">
        <v>41</v>
      </c>
      <c r="C819" s="6">
        <v>568.36</v>
      </c>
      <c r="D819" s="6">
        <v>577.20000000000005</v>
      </c>
      <c r="E819" s="6">
        <v>559.52</v>
      </c>
      <c r="F819" s="6">
        <v>568.65</v>
      </c>
      <c r="G819" s="6">
        <v>12577</v>
      </c>
      <c r="H819" s="10">
        <f>(Table7[[#This Row],[close]]-F818)/F818</f>
        <v>5.275931201852329E-5</v>
      </c>
    </row>
    <row r="820" spans="1:8" x14ac:dyDescent="0.3">
      <c r="A820" s="5">
        <v>45720</v>
      </c>
      <c r="B820" s="6" t="s">
        <v>41</v>
      </c>
      <c r="C820" s="6">
        <v>578.29999999999995</v>
      </c>
      <c r="D820" s="6">
        <v>582.74</v>
      </c>
      <c r="E820" s="6">
        <v>573.86</v>
      </c>
      <c r="F820" s="6">
        <v>574.03</v>
      </c>
      <c r="G820" s="6">
        <v>25255</v>
      </c>
      <c r="H820" s="10">
        <f>(Table7[[#This Row],[close]]-F819)/F819</f>
        <v>9.4610041325947341E-3</v>
      </c>
    </row>
    <row r="821" spans="1:8" x14ac:dyDescent="0.3">
      <c r="A821" s="5">
        <v>45721</v>
      </c>
      <c r="B821" s="6" t="s">
        <v>41</v>
      </c>
      <c r="C821" s="6">
        <v>573.70000000000005</v>
      </c>
      <c r="D821" s="6">
        <v>579.99</v>
      </c>
      <c r="E821" s="6">
        <v>567.41999999999996</v>
      </c>
      <c r="F821" s="6">
        <v>571.84</v>
      </c>
      <c r="G821" s="6">
        <v>36931</v>
      </c>
      <c r="H821" s="10">
        <f>(Table7[[#This Row],[close]]-F820)/F820</f>
        <v>-3.8151316133302111E-3</v>
      </c>
    </row>
    <row r="822" spans="1:8" x14ac:dyDescent="0.3">
      <c r="A822" s="5">
        <v>45722</v>
      </c>
      <c r="B822" s="6" t="s">
        <v>41</v>
      </c>
      <c r="C822" s="6">
        <v>569.87</v>
      </c>
      <c r="D822" s="6">
        <v>576.09</v>
      </c>
      <c r="E822" s="6">
        <v>563.64</v>
      </c>
      <c r="F822" s="6">
        <v>573.86</v>
      </c>
      <c r="G822" s="6">
        <v>36740</v>
      </c>
      <c r="H822" s="10">
        <f>(Table7[[#This Row],[close]]-F821)/F821</f>
        <v>3.5324566312254857E-3</v>
      </c>
    </row>
    <row r="823" spans="1:8" x14ac:dyDescent="0.3">
      <c r="A823" s="5">
        <v>45723</v>
      </c>
      <c r="B823" s="6" t="s">
        <v>41</v>
      </c>
      <c r="C823" s="6">
        <v>575.57000000000005</v>
      </c>
      <c r="D823" s="6">
        <v>577.97</v>
      </c>
      <c r="E823" s="6">
        <v>573.16999999999996</v>
      </c>
      <c r="F823" s="6">
        <v>576.15</v>
      </c>
      <c r="G823" s="6">
        <v>18374</v>
      </c>
      <c r="H823" s="10">
        <f>(Table7[[#This Row],[close]]-F822)/F822</f>
        <v>3.9905203359703826E-3</v>
      </c>
    </row>
    <row r="824" spans="1:8" x14ac:dyDescent="0.3">
      <c r="A824" s="5">
        <v>45726</v>
      </c>
      <c r="B824" s="6" t="s">
        <v>41</v>
      </c>
      <c r="C824" s="6">
        <v>555.85</v>
      </c>
      <c r="D824" s="6">
        <v>562.80999999999995</v>
      </c>
      <c r="E824" s="6">
        <v>548.89</v>
      </c>
      <c r="F824" s="6">
        <v>556.16999999999996</v>
      </c>
      <c r="G824" s="6">
        <v>1489</v>
      </c>
      <c r="H824" s="10">
        <f>(Table7[[#This Row],[close]]-F823)/F823</f>
        <v>-3.4678469148659234E-2</v>
      </c>
    </row>
    <row r="825" spans="1:8" x14ac:dyDescent="0.3">
      <c r="A825" s="5">
        <v>45727</v>
      </c>
      <c r="B825" s="6" t="s">
        <v>41</v>
      </c>
      <c r="C825" s="6">
        <v>560.1</v>
      </c>
      <c r="D825" s="6">
        <v>566.89</v>
      </c>
      <c r="E825" s="6">
        <v>553.30999999999995</v>
      </c>
      <c r="F825" s="6">
        <v>560.4</v>
      </c>
      <c r="G825" s="6">
        <v>20275</v>
      </c>
      <c r="H825" s="10">
        <f>(Table7[[#This Row],[close]]-F824)/F824</f>
        <v>7.6055882194293444E-3</v>
      </c>
    </row>
    <row r="826" spans="1:8" x14ac:dyDescent="0.3">
      <c r="A826" s="5">
        <v>45728</v>
      </c>
      <c r="B826" s="6" t="s">
        <v>41</v>
      </c>
      <c r="C826" s="6">
        <v>573.19000000000005</v>
      </c>
      <c r="D826" s="6">
        <v>580.03</v>
      </c>
      <c r="E826" s="6">
        <v>566.35</v>
      </c>
      <c r="F826" s="6">
        <v>574.58000000000004</v>
      </c>
      <c r="G826" s="6">
        <v>33821</v>
      </c>
      <c r="H826" s="10">
        <f>(Table7[[#This Row],[close]]-F825)/F825</f>
        <v>2.530335474660968E-2</v>
      </c>
    </row>
    <row r="827" spans="1:8" x14ac:dyDescent="0.3">
      <c r="A827" s="5">
        <v>45729</v>
      </c>
      <c r="B827" s="6" t="s">
        <v>41</v>
      </c>
      <c r="C827" s="6">
        <v>577.47</v>
      </c>
      <c r="D827" s="6">
        <v>583.11</v>
      </c>
      <c r="E827" s="6">
        <v>571.83000000000004</v>
      </c>
      <c r="F827" s="6">
        <v>578.64</v>
      </c>
      <c r="G827" s="6">
        <v>39712</v>
      </c>
      <c r="H827" s="10">
        <f>(Table7[[#This Row],[close]]-F826)/F826</f>
        <v>7.0660308399177578E-3</v>
      </c>
    </row>
    <row r="828" spans="1:8" x14ac:dyDescent="0.3">
      <c r="A828" s="5">
        <v>45730</v>
      </c>
      <c r="B828" s="6" t="s">
        <v>41</v>
      </c>
      <c r="C828" s="6">
        <v>571.99</v>
      </c>
      <c r="D828" s="6">
        <v>574.6</v>
      </c>
      <c r="E828" s="6">
        <v>569.38</v>
      </c>
      <c r="F828" s="6">
        <v>571.84</v>
      </c>
      <c r="G828" s="6">
        <v>2629</v>
      </c>
      <c r="H828" s="10">
        <f>(Table7[[#This Row],[close]]-F827)/F827</f>
        <v>-1.175169362643432E-2</v>
      </c>
    </row>
    <row r="829" spans="1:8" x14ac:dyDescent="0.3">
      <c r="A829" s="5">
        <v>45733</v>
      </c>
      <c r="B829" s="6" t="s">
        <v>41</v>
      </c>
      <c r="C829" s="6">
        <v>577.51</v>
      </c>
      <c r="D829" s="6">
        <v>586.70000000000005</v>
      </c>
      <c r="E829" s="6">
        <v>568.32000000000005</v>
      </c>
      <c r="F829" s="6">
        <v>576.67999999999995</v>
      </c>
      <c r="G829" s="6">
        <v>46450</v>
      </c>
      <c r="H829" s="10">
        <f>(Table7[[#This Row],[close]]-F828)/F828</f>
        <v>8.4639059876887197E-3</v>
      </c>
    </row>
    <row r="830" spans="1:8" x14ac:dyDescent="0.3">
      <c r="A830" s="5">
        <v>45734</v>
      </c>
      <c r="B830" s="6" t="s">
        <v>41</v>
      </c>
      <c r="C830" s="6">
        <v>585.22</v>
      </c>
      <c r="D830" s="6">
        <v>586.76</v>
      </c>
      <c r="E830" s="6">
        <v>583.66999999999996</v>
      </c>
      <c r="F830" s="6">
        <v>584.57000000000005</v>
      </c>
      <c r="G830" s="6">
        <v>19945</v>
      </c>
      <c r="H830" s="10">
        <f>(Table7[[#This Row],[close]]-F829)/F829</f>
        <v>1.3681764583478013E-2</v>
      </c>
    </row>
    <row r="831" spans="1:8" x14ac:dyDescent="0.3">
      <c r="A831" s="5">
        <v>45735</v>
      </c>
      <c r="B831" s="6" t="s">
        <v>41</v>
      </c>
      <c r="C831" s="6">
        <v>586.66999999999996</v>
      </c>
      <c r="D831" s="6">
        <v>590.07000000000005</v>
      </c>
      <c r="E831" s="6">
        <v>583.27</v>
      </c>
      <c r="F831" s="6">
        <v>588.49</v>
      </c>
      <c r="G831" s="6">
        <v>5886</v>
      </c>
      <c r="H831" s="10">
        <f>(Table7[[#This Row],[close]]-F830)/F830</f>
        <v>6.705783738474364E-3</v>
      </c>
    </row>
    <row r="832" spans="1:8" x14ac:dyDescent="0.3">
      <c r="A832" s="5">
        <v>45736</v>
      </c>
      <c r="B832" s="6" t="s">
        <v>41</v>
      </c>
      <c r="C832" s="6">
        <v>587.28</v>
      </c>
      <c r="D832" s="6">
        <v>595.84</v>
      </c>
      <c r="E832" s="6">
        <v>578.72</v>
      </c>
      <c r="F832" s="6">
        <v>588.08000000000004</v>
      </c>
      <c r="G832" s="6">
        <v>17767</v>
      </c>
      <c r="H832" s="10">
        <f>(Table7[[#This Row],[close]]-F831)/F831</f>
        <v>-6.9669832962321906E-4</v>
      </c>
    </row>
    <row r="833" spans="1:8" x14ac:dyDescent="0.3">
      <c r="A833" s="5">
        <v>45737</v>
      </c>
      <c r="B833" s="6" t="s">
        <v>41</v>
      </c>
      <c r="C833" s="6">
        <v>586.53</v>
      </c>
      <c r="D833" s="6">
        <v>592.87</v>
      </c>
      <c r="E833" s="6">
        <v>580.17999999999995</v>
      </c>
      <c r="F833" s="6">
        <v>586.42999999999995</v>
      </c>
      <c r="G833" s="6">
        <v>13226</v>
      </c>
      <c r="H833" s="10">
        <f>(Table7[[#This Row],[close]]-F832)/F832</f>
        <v>-2.8057407155490594E-3</v>
      </c>
    </row>
    <row r="834" spans="1:8" x14ac:dyDescent="0.3">
      <c r="A834" s="5">
        <v>45740</v>
      </c>
      <c r="B834" s="6" t="s">
        <v>41</v>
      </c>
      <c r="C834" s="6">
        <v>586.58000000000004</v>
      </c>
      <c r="D834" s="6">
        <v>592.20000000000005</v>
      </c>
      <c r="E834" s="6">
        <v>580.96</v>
      </c>
      <c r="F834" s="6">
        <v>584.75</v>
      </c>
      <c r="G834" s="6">
        <v>48788</v>
      </c>
      <c r="H834" s="10">
        <f>(Table7[[#This Row],[close]]-F833)/F833</f>
        <v>-2.8647920467915183E-3</v>
      </c>
    </row>
    <row r="835" spans="1:8" x14ac:dyDescent="0.3">
      <c r="A835" s="5">
        <v>45741</v>
      </c>
      <c r="B835" s="6" t="s">
        <v>41</v>
      </c>
      <c r="C835" s="6">
        <v>592.20000000000005</v>
      </c>
      <c r="D835" s="6">
        <v>599.79999999999995</v>
      </c>
      <c r="E835" s="6">
        <v>584.59</v>
      </c>
      <c r="F835" s="6">
        <v>590.05999999999995</v>
      </c>
      <c r="G835" s="6">
        <v>49908</v>
      </c>
      <c r="H835" s="10">
        <f>(Table7[[#This Row],[close]]-F834)/F834</f>
        <v>9.0808037622914835E-3</v>
      </c>
    </row>
    <row r="836" spans="1:8" x14ac:dyDescent="0.3">
      <c r="A836" s="5">
        <v>45742</v>
      </c>
      <c r="B836" s="6" t="s">
        <v>41</v>
      </c>
      <c r="C836" s="6">
        <v>578.85</v>
      </c>
      <c r="D836" s="6">
        <v>587.41999999999996</v>
      </c>
      <c r="E836" s="6">
        <v>570.27</v>
      </c>
      <c r="F836" s="6">
        <v>579.83000000000004</v>
      </c>
      <c r="G836" s="6">
        <v>49564</v>
      </c>
      <c r="H836" s="10">
        <f>(Table7[[#This Row],[close]]-F835)/F835</f>
        <v>-1.7337219943734376E-2</v>
      </c>
    </row>
    <row r="837" spans="1:8" x14ac:dyDescent="0.3">
      <c r="A837" s="5">
        <v>45743</v>
      </c>
      <c r="B837" s="6" t="s">
        <v>41</v>
      </c>
      <c r="C837" s="6">
        <v>577.47</v>
      </c>
      <c r="D837" s="6">
        <v>586.66</v>
      </c>
      <c r="E837" s="6">
        <v>568.27</v>
      </c>
      <c r="F837" s="6">
        <v>577.25</v>
      </c>
      <c r="G837" s="6">
        <v>11006</v>
      </c>
      <c r="H837" s="10">
        <f>(Table7[[#This Row],[close]]-F836)/F836</f>
        <v>-4.4495800493248722E-3</v>
      </c>
    </row>
    <row r="838" spans="1:8" x14ac:dyDescent="0.3">
      <c r="A838" s="5">
        <v>45744</v>
      </c>
      <c r="B838" s="6" t="s">
        <v>41</v>
      </c>
      <c r="C838" s="6">
        <v>590.28</v>
      </c>
      <c r="D838" s="6">
        <v>600.70000000000005</v>
      </c>
      <c r="E838" s="6">
        <v>579.85</v>
      </c>
      <c r="F838" s="6">
        <v>589.12</v>
      </c>
      <c r="G838" s="6">
        <v>21324</v>
      </c>
      <c r="H838" s="10">
        <f>(Table7[[#This Row],[close]]-F837)/F837</f>
        <v>2.0563014291901265E-2</v>
      </c>
    </row>
    <row r="839" spans="1:8" x14ac:dyDescent="0.3">
      <c r="A839" s="5">
        <v>45747</v>
      </c>
      <c r="B839" s="6" t="s">
        <v>41</v>
      </c>
      <c r="C839" s="6">
        <v>605.11</v>
      </c>
      <c r="D839" s="6">
        <v>610.51</v>
      </c>
      <c r="E839" s="6">
        <v>599.70000000000005</v>
      </c>
      <c r="F839" s="6">
        <v>601.52</v>
      </c>
      <c r="G839" s="6">
        <v>30063</v>
      </c>
      <c r="H839" s="10">
        <f>(Table7[[#This Row],[close]]-F838)/F838</f>
        <v>2.104834329168926E-2</v>
      </c>
    </row>
    <row r="840" spans="1:8" x14ac:dyDescent="0.3">
      <c r="A840" s="5">
        <v>45748</v>
      </c>
      <c r="B840" s="6" t="s">
        <v>41</v>
      </c>
      <c r="C840" s="6">
        <v>589.21</v>
      </c>
      <c r="D840" s="6">
        <v>590.92999999999995</v>
      </c>
      <c r="E840" s="6">
        <v>587.49</v>
      </c>
      <c r="F840" s="6">
        <v>590.55999999999995</v>
      </c>
      <c r="G840" s="6">
        <v>2093</v>
      </c>
      <c r="H840" s="10">
        <f>(Table7[[#This Row],[close]]-F839)/F839</f>
        <v>-1.8220508046282811E-2</v>
      </c>
    </row>
    <row r="841" spans="1:8" x14ac:dyDescent="0.3">
      <c r="A841" s="5">
        <v>45749</v>
      </c>
      <c r="B841" s="6" t="s">
        <v>41</v>
      </c>
      <c r="C841" s="6">
        <v>579.58000000000004</v>
      </c>
      <c r="D841" s="6">
        <v>587.16999999999996</v>
      </c>
      <c r="E841" s="6">
        <v>571.99</v>
      </c>
      <c r="F841" s="6">
        <v>582.34</v>
      </c>
      <c r="G841" s="6">
        <v>6710</v>
      </c>
      <c r="H841" s="10">
        <f>(Table7[[#This Row],[close]]-F840)/F840</f>
        <v>-1.3918992143050519E-2</v>
      </c>
    </row>
    <row r="842" spans="1:8" x14ac:dyDescent="0.3">
      <c r="A842" s="5">
        <v>45750</v>
      </c>
      <c r="B842" s="6" t="s">
        <v>41</v>
      </c>
      <c r="C842" s="6">
        <v>583.5</v>
      </c>
      <c r="D842" s="6">
        <v>586.96</v>
      </c>
      <c r="E842" s="6">
        <v>580.04</v>
      </c>
      <c r="F842" s="6">
        <v>580.49</v>
      </c>
      <c r="G842" s="6">
        <v>34457</v>
      </c>
      <c r="H842" s="10">
        <f>(Table7[[#This Row],[close]]-F841)/F841</f>
        <v>-3.1768382731737861E-3</v>
      </c>
    </row>
    <row r="843" spans="1:8" x14ac:dyDescent="0.3">
      <c r="A843" s="5">
        <v>45751</v>
      </c>
      <c r="B843" s="6" t="s">
        <v>41</v>
      </c>
      <c r="C843" s="6">
        <v>589.28</v>
      </c>
      <c r="D843" s="6">
        <v>596.4</v>
      </c>
      <c r="E843" s="6">
        <v>582.16</v>
      </c>
      <c r="F843" s="6">
        <v>587.20000000000005</v>
      </c>
      <c r="G843" s="6">
        <v>1365</v>
      </c>
      <c r="H843" s="10">
        <f>(Table7[[#This Row],[close]]-F842)/F842</f>
        <v>1.1559199986218602E-2</v>
      </c>
    </row>
    <row r="844" spans="1:8" x14ac:dyDescent="0.3">
      <c r="A844" s="5">
        <v>45754</v>
      </c>
      <c r="B844" s="6" t="s">
        <v>41</v>
      </c>
      <c r="C844" s="6">
        <v>577.20000000000005</v>
      </c>
      <c r="D844" s="6">
        <v>584.16</v>
      </c>
      <c r="E844" s="6">
        <v>570.24</v>
      </c>
      <c r="F844" s="6">
        <v>573.97</v>
      </c>
      <c r="G844" s="6">
        <v>25476</v>
      </c>
      <c r="H844" s="10">
        <f>(Table7[[#This Row],[close]]-F843)/F843</f>
        <v>-2.2530653950953709E-2</v>
      </c>
    </row>
    <row r="845" spans="1:8" x14ac:dyDescent="0.3">
      <c r="A845" s="5">
        <v>45755</v>
      </c>
      <c r="B845" s="6" t="s">
        <v>41</v>
      </c>
      <c r="C845" s="6">
        <v>572.39</v>
      </c>
      <c r="D845" s="6">
        <v>578.72</v>
      </c>
      <c r="E845" s="6">
        <v>566.05999999999995</v>
      </c>
      <c r="F845" s="6">
        <v>573.71</v>
      </c>
      <c r="G845" s="6">
        <v>33001</v>
      </c>
      <c r="H845" s="10">
        <f>(Table7[[#This Row],[close]]-F844)/F844</f>
        <v>-4.5298534766623845E-4</v>
      </c>
    </row>
    <row r="846" spans="1:8" x14ac:dyDescent="0.3">
      <c r="A846" s="5">
        <v>45756</v>
      </c>
      <c r="B846" s="6" t="s">
        <v>41</v>
      </c>
      <c r="C846" s="6">
        <v>570.05999999999995</v>
      </c>
      <c r="D846" s="6">
        <v>578.96</v>
      </c>
      <c r="E846" s="6">
        <v>561.16</v>
      </c>
      <c r="F846" s="6">
        <v>570.42999999999995</v>
      </c>
      <c r="G846" s="6">
        <v>22372</v>
      </c>
      <c r="H846" s="10">
        <f>(Table7[[#This Row],[close]]-F845)/F845</f>
        <v>-5.7171741820782034E-3</v>
      </c>
    </row>
    <row r="847" spans="1:8" x14ac:dyDescent="0.3">
      <c r="A847" s="5">
        <v>45757</v>
      </c>
      <c r="B847" s="6" t="s">
        <v>41</v>
      </c>
      <c r="C847" s="6">
        <v>580.02</v>
      </c>
      <c r="D847" s="6">
        <v>580.96</v>
      </c>
      <c r="E847" s="6">
        <v>579.07000000000005</v>
      </c>
      <c r="F847" s="6">
        <v>580.17999999999995</v>
      </c>
      <c r="G847" s="6">
        <v>28923</v>
      </c>
      <c r="H847" s="10">
        <f>(Table7[[#This Row],[close]]-F846)/F846</f>
        <v>1.7092368914678403E-2</v>
      </c>
    </row>
    <row r="848" spans="1:8" x14ac:dyDescent="0.3">
      <c r="A848" s="5">
        <v>45758</v>
      </c>
      <c r="B848" s="6" t="s">
        <v>41</v>
      </c>
      <c r="C848" s="6">
        <v>568.01</v>
      </c>
      <c r="D848" s="6">
        <v>578.45000000000005</v>
      </c>
      <c r="E848" s="6">
        <v>557.57000000000005</v>
      </c>
      <c r="F848" s="6">
        <v>568.17999999999995</v>
      </c>
      <c r="G848" s="6">
        <v>10306</v>
      </c>
      <c r="H848" s="10">
        <f>(Table7[[#This Row],[close]]-F847)/F847</f>
        <v>-2.0683236237029889E-2</v>
      </c>
    </row>
    <row r="849" spans="1:8" x14ac:dyDescent="0.3">
      <c r="A849" s="5">
        <v>45761</v>
      </c>
      <c r="B849" s="6" t="s">
        <v>41</v>
      </c>
      <c r="C849" s="6">
        <v>568.69000000000005</v>
      </c>
      <c r="D849" s="6">
        <v>578.16</v>
      </c>
      <c r="E849" s="6">
        <v>559.22</v>
      </c>
      <c r="F849" s="6">
        <v>568.98</v>
      </c>
      <c r="G849" s="6">
        <v>38228</v>
      </c>
      <c r="H849" s="10">
        <f>(Table7[[#This Row],[close]]-F848)/F848</f>
        <v>1.4080045056145381E-3</v>
      </c>
    </row>
    <row r="850" spans="1:8" x14ac:dyDescent="0.3">
      <c r="A850" s="5">
        <v>45762</v>
      </c>
      <c r="B850" s="6" t="s">
        <v>41</v>
      </c>
      <c r="C850" s="6">
        <v>565.70000000000005</v>
      </c>
      <c r="D850" s="6">
        <v>571.58000000000004</v>
      </c>
      <c r="E850" s="6">
        <v>559.83000000000004</v>
      </c>
      <c r="F850" s="6">
        <v>566.29999999999995</v>
      </c>
      <c r="G850" s="6">
        <v>20212</v>
      </c>
      <c r="H850" s="10">
        <f>(Table7[[#This Row],[close]]-F849)/F849</f>
        <v>-4.7101831347324393E-3</v>
      </c>
    </row>
    <row r="851" spans="1:8" x14ac:dyDescent="0.3">
      <c r="A851" s="5">
        <v>45763</v>
      </c>
      <c r="B851" s="6" t="s">
        <v>41</v>
      </c>
      <c r="C851" s="6">
        <v>577.64</v>
      </c>
      <c r="D851" s="6">
        <v>578.52</v>
      </c>
      <c r="E851" s="6">
        <v>576.76</v>
      </c>
      <c r="F851" s="6">
        <v>577.02</v>
      </c>
      <c r="G851" s="6">
        <v>5594</v>
      </c>
      <c r="H851" s="10">
        <f>(Table7[[#This Row],[close]]-F850)/F850</f>
        <v>1.8929895814939129E-2</v>
      </c>
    </row>
    <row r="852" spans="1:8" x14ac:dyDescent="0.3">
      <c r="A852" s="5">
        <v>45764</v>
      </c>
      <c r="B852" s="6" t="s">
        <v>41</v>
      </c>
      <c r="C852" s="6">
        <v>583.79999999999995</v>
      </c>
      <c r="D852" s="6">
        <v>586.24</v>
      </c>
      <c r="E852" s="6">
        <v>581.36</v>
      </c>
      <c r="F852" s="6">
        <v>581.52</v>
      </c>
      <c r="G852" s="6">
        <v>30179</v>
      </c>
      <c r="H852" s="10">
        <f>(Table7[[#This Row],[close]]-F851)/F851</f>
        <v>7.7986898201102221E-3</v>
      </c>
    </row>
    <row r="853" spans="1:8" x14ac:dyDescent="0.3">
      <c r="A853" s="5">
        <v>45765</v>
      </c>
      <c r="B853" s="6" t="s">
        <v>41</v>
      </c>
      <c r="C853" s="6">
        <v>579.82000000000005</v>
      </c>
      <c r="D853" s="6">
        <v>584.94000000000005</v>
      </c>
      <c r="E853" s="6">
        <v>574.70000000000005</v>
      </c>
      <c r="F853" s="6">
        <v>577.38</v>
      </c>
      <c r="G853" s="6">
        <v>33933</v>
      </c>
      <c r="H853" s="10">
        <f>(Table7[[#This Row],[close]]-F852)/F852</f>
        <v>-7.1192736277341908E-3</v>
      </c>
    </row>
    <row r="854" spans="1:8" x14ac:dyDescent="0.3">
      <c r="A854" s="5">
        <v>45768</v>
      </c>
      <c r="B854" s="6" t="s">
        <v>41</v>
      </c>
      <c r="C854" s="6">
        <v>578.51</v>
      </c>
      <c r="D854" s="6">
        <v>583.96</v>
      </c>
      <c r="E854" s="6">
        <v>573.05999999999995</v>
      </c>
      <c r="F854" s="6">
        <v>583.76</v>
      </c>
      <c r="G854" s="6">
        <v>18375</v>
      </c>
      <c r="H854" s="10">
        <f>(Table7[[#This Row],[close]]-F853)/F853</f>
        <v>1.1049915133880626E-2</v>
      </c>
    </row>
    <row r="855" spans="1:8" x14ac:dyDescent="0.3">
      <c r="A855" s="5">
        <v>45769</v>
      </c>
      <c r="B855" s="6" t="s">
        <v>41</v>
      </c>
      <c r="C855" s="6">
        <v>582.07000000000005</v>
      </c>
      <c r="D855" s="6">
        <v>584.64</v>
      </c>
      <c r="E855" s="6">
        <v>579.51</v>
      </c>
      <c r="F855" s="6">
        <v>581.04999999999995</v>
      </c>
      <c r="G855" s="6">
        <v>37607</v>
      </c>
      <c r="H855" s="10">
        <f>(Table7[[#This Row],[close]]-F854)/F854</f>
        <v>-4.6423187611347753E-3</v>
      </c>
    </row>
    <row r="856" spans="1:8" x14ac:dyDescent="0.3">
      <c r="A856" s="5">
        <v>45770</v>
      </c>
      <c r="B856" s="6" t="s">
        <v>41</v>
      </c>
      <c r="C856" s="6">
        <v>588.88</v>
      </c>
      <c r="D856" s="6">
        <v>595.84</v>
      </c>
      <c r="E856" s="6">
        <v>581.91999999999996</v>
      </c>
      <c r="F856" s="6">
        <v>588.54999999999995</v>
      </c>
      <c r="G856" s="6">
        <v>47287</v>
      </c>
      <c r="H856" s="10">
        <f>(Table7[[#This Row],[close]]-F855)/F855</f>
        <v>1.290766715428965E-2</v>
      </c>
    </row>
    <row r="857" spans="1:8" x14ac:dyDescent="0.3">
      <c r="A857" s="5">
        <v>45771</v>
      </c>
      <c r="B857" s="6" t="s">
        <v>41</v>
      </c>
      <c r="C857" s="6">
        <v>587.01</v>
      </c>
      <c r="D857" s="6">
        <v>591.80999999999995</v>
      </c>
      <c r="E857" s="6">
        <v>582.21</v>
      </c>
      <c r="F857" s="6">
        <v>586.94000000000005</v>
      </c>
      <c r="G857" s="6">
        <v>11776</v>
      </c>
      <c r="H857" s="10">
        <f>(Table7[[#This Row],[close]]-F856)/F856</f>
        <v>-2.7355364879787613E-3</v>
      </c>
    </row>
    <row r="858" spans="1:8" x14ac:dyDescent="0.3">
      <c r="A858" s="5">
        <v>45772</v>
      </c>
      <c r="B858" s="6" t="s">
        <v>41</v>
      </c>
      <c r="C858" s="6">
        <v>591.54</v>
      </c>
      <c r="D858" s="6">
        <v>595.75</v>
      </c>
      <c r="E858" s="6">
        <v>587.33000000000004</v>
      </c>
      <c r="F858" s="6">
        <v>594.92999999999995</v>
      </c>
      <c r="G858" s="6">
        <v>9210</v>
      </c>
      <c r="H858" s="10">
        <f>(Table7[[#This Row],[close]]-F857)/F857</f>
        <v>1.3612975772651199E-2</v>
      </c>
    </row>
    <row r="859" spans="1:8" x14ac:dyDescent="0.3">
      <c r="A859" s="5">
        <v>45775</v>
      </c>
      <c r="B859" s="6" t="s">
        <v>41</v>
      </c>
      <c r="C859" s="6">
        <v>596.76</v>
      </c>
      <c r="D859" s="6">
        <v>603.64</v>
      </c>
      <c r="E859" s="6">
        <v>589.88</v>
      </c>
      <c r="F859" s="6">
        <v>598.35</v>
      </c>
      <c r="G859" s="6">
        <v>40850</v>
      </c>
      <c r="H859" s="10">
        <f>(Table7[[#This Row],[close]]-F858)/F858</f>
        <v>5.7485754626595952E-3</v>
      </c>
    </row>
    <row r="860" spans="1:8" x14ac:dyDescent="0.3">
      <c r="A860" s="5">
        <v>45776</v>
      </c>
      <c r="B860" s="6" t="s">
        <v>41</v>
      </c>
      <c r="C860" s="6">
        <v>623.65</v>
      </c>
      <c r="D860" s="6">
        <v>630.80999999999995</v>
      </c>
      <c r="E860" s="6">
        <v>616.49</v>
      </c>
      <c r="F860" s="6">
        <v>623.59</v>
      </c>
      <c r="G860" s="6">
        <v>12094</v>
      </c>
      <c r="H860" s="10">
        <f>(Table7[[#This Row],[close]]-F859)/F859</f>
        <v>4.2182669006434373E-2</v>
      </c>
    </row>
    <row r="861" spans="1:8" x14ac:dyDescent="0.3">
      <c r="A861" s="5">
        <v>45777</v>
      </c>
      <c r="B861" s="6" t="s">
        <v>41</v>
      </c>
      <c r="C861" s="6">
        <v>623.32000000000005</v>
      </c>
      <c r="D861" s="6">
        <v>634.89</v>
      </c>
      <c r="E861" s="6">
        <v>611.74</v>
      </c>
      <c r="F861" s="6">
        <v>623.32000000000005</v>
      </c>
      <c r="G861" s="6">
        <v>7838</v>
      </c>
      <c r="H861" s="10">
        <f>(Table7[[#This Row],[close]]-F860)/F860</f>
        <v>-4.3297679565095946E-4</v>
      </c>
    </row>
    <row r="862" spans="1:8" x14ac:dyDescent="0.3">
      <c r="A862" s="5">
        <v>45778</v>
      </c>
      <c r="B862" s="6" t="s">
        <v>41</v>
      </c>
      <c r="C862" s="6">
        <v>626.39</v>
      </c>
      <c r="D862" s="6">
        <v>634.23</v>
      </c>
      <c r="E862" s="6">
        <v>618.54999999999995</v>
      </c>
      <c r="F862" s="6">
        <v>626.48</v>
      </c>
      <c r="G862" s="6">
        <v>5996</v>
      </c>
      <c r="H862" s="10">
        <f>(Table7[[#This Row],[close]]-F861)/F861</f>
        <v>5.0696271578001151E-3</v>
      </c>
    </row>
    <row r="863" spans="1:8" x14ac:dyDescent="0.3">
      <c r="A863" s="5">
        <v>45779</v>
      </c>
      <c r="B863" s="6" t="s">
        <v>41</v>
      </c>
      <c r="C863" s="6">
        <v>622.95000000000005</v>
      </c>
      <c r="D863" s="6">
        <v>635.26</v>
      </c>
      <c r="E863" s="6">
        <v>610.64</v>
      </c>
      <c r="F863" s="6">
        <v>622.86</v>
      </c>
      <c r="G863" s="6">
        <v>15211</v>
      </c>
      <c r="H863" s="10">
        <f>(Table7[[#This Row],[close]]-F862)/F862</f>
        <v>-5.7783169454731264E-3</v>
      </c>
    </row>
    <row r="864" spans="1:8" x14ac:dyDescent="0.3">
      <c r="A864" s="5">
        <v>45782</v>
      </c>
      <c r="B864" s="6" t="s">
        <v>41</v>
      </c>
      <c r="C864" s="6">
        <v>625.52</v>
      </c>
      <c r="D864" s="6">
        <v>633.76</v>
      </c>
      <c r="E864" s="6">
        <v>617.28</v>
      </c>
      <c r="F864" s="6">
        <v>623.03</v>
      </c>
      <c r="G864" s="6">
        <v>25229</v>
      </c>
      <c r="H864" s="10">
        <f>(Table7[[#This Row],[close]]-F863)/F863</f>
        <v>2.7293452782320117E-4</v>
      </c>
    </row>
    <row r="865" spans="1:8" x14ac:dyDescent="0.3">
      <c r="A865" s="5">
        <v>45783</v>
      </c>
      <c r="B865" s="6" t="s">
        <v>41</v>
      </c>
      <c r="C865" s="6">
        <v>605.57000000000005</v>
      </c>
      <c r="D865" s="6">
        <v>609.47</v>
      </c>
      <c r="E865" s="6">
        <v>601.67999999999995</v>
      </c>
      <c r="F865" s="6">
        <v>602.32000000000005</v>
      </c>
      <c r="G865" s="6">
        <v>29554</v>
      </c>
      <c r="H865" s="10">
        <f>(Table7[[#This Row],[close]]-F864)/F864</f>
        <v>-3.3240774922555776E-2</v>
      </c>
    </row>
    <row r="866" spans="1:8" x14ac:dyDescent="0.3">
      <c r="A866" s="5">
        <v>45784</v>
      </c>
      <c r="B866" s="6" t="s">
        <v>41</v>
      </c>
      <c r="C866" s="6">
        <v>608.86</v>
      </c>
      <c r="D866" s="6">
        <v>616.1</v>
      </c>
      <c r="E866" s="6">
        <v>601.62</v>
      </c>
      <c r="F866" s="6">
        <v>606.01</v>
      </c>
      <c r="G866" s="6">
        <v>40605</v>
      </c>
      <c r="H866" s="10">
        <f>(Table7[[#This Row],[close]]-F865)/F865</f>
        <v>6.1263115951652623E-3</v>
      </c>
    </row>
    <row r="867" spans="1:8" x14ac:dyDescent="0.3">
      <c r="A867" s="5">
        <v>45785</v>
      </c>
      <c r="B867" s="6" t="s">
        <v>41</v>
      </c>
      <c r="C867" s="6">
        <v>612.99</v>
      </c>
      <c r="D867" s="6">
        <v>621.1</v>
      </c>
      <c r="E867" s="6">
        <v>604.89</v>
      </c>
      <c r="F867" s="6">
        <v>616.5</v>
      </c>
      <c r="G867" s="6">
        <v>26515</v>
      </c>
      <c r="H867" s="10">
        <f>(Table7[[#This Row],[close]]-F866)/F866</f>
        <v>1.7309945380439281E-2</v>
      </c>
    </row>
    <row r="868" spans="1:8" x14ac:dyDescent="0.3">
      <c r="A868" s="5">
        <v>45786</v>
      </c>
      <c r="B868" s="6" t="s">
        <v>41</v>
      </c>
      <c r="C868" s="6">
        <v>618.54999999999995</v>
      </c>
      <c r="D868" s="6">
        <v>625.92999999999995</v>
      </c>
      <c r="E868" s="6">
        <v>611.16999999999996</v>
      </c>
      <c r="F868" s="6">
        <v>619.73</v>
      </c>
      <c r="G868" s="6">
        <v>33254</v>
      </c>
      <c r="H868" s="10">
        <f>(Table7[[#This Row],[close]]-F867)/F867</f>
        <v>5.2392538523925681E-3</v>
      </c>
    </row>
    <row r="869" spans="1:8" x14ac:dyDescent="0.3">
      <c r="A869" s="5">
        <v>45789</v>
      </c>
      <c r="B869" s="6" t="s">
        <v>41</v>
      </c>
      <c r="C869" s="6">
        <v>615.22</v>
      </c>
      <c r="D869" s="6">
        <v>621.58000000000004</v>
      </c>
      <c r="E869" s="6">
        <v>608.85</v>
      </c>
      <c r="F869" s="6">
        <v>609.70000000000005</v>
      </c>
      <c r="G869" s="6">
        <v>1917</v>
      </c>
      <c r="H869" s="10">
        <f>(Table7[[#This Row],[close]]-F868)/F868</f>
        <v>-1.6184467429364358E-2</v>
      </c>
    </row>
    <row r="870" spans="1:8" x14ac:dyDescent="0.3">
      <c r="A870" s="5">
        <v>45790</v>
      </c>
      <c r="B870" s="6" t="s">
        <v>41</v>
      </c>
      <c r="C870" s="6">
        <v>600.82000000000005</v>
      </c>
      <c r="D870" s="6">
        <v>605.61</v>
      </c>
      <c r="E870" s="6">
        <v>596.04</v>
      </c>
      <c r="F870" s="6">
        <v>603.72</v>
      </c>
      <c r="G870" s="6">
        <v>40104</v>
      </c>
      <c r="H870" s="10">
        <f>(Table7[[#This Row],[close]]-F869)/F869</f>
        <v>-9.8081023454158079E-3</v>
      </c>
    </row>
    <row r="871" spans="1:8" x14ac:dyDescent="0.3">
      <c r="A871" s="5">
        <v>45791</v>
      </c>
      <c r="B871" s="6" t="s">
        <v>41</v>
      </c>
      <c r="C871" s="6">
        <v>582.57000000000005</v>
      </c>
      <c r="D871" s="6">
        <v>587.76</v>
      </c>
      <c r="E871" s="6">
        <v>577.39</v>
      </c>
      <c r="F871" s="6">
        <v>585.65</v>
      </c>
      <c r="G871" s="6">
        <v>10941</v>
      </c>
      <c r="H871" s="10">
        <f>(Table7[[#This Row],[close]]-F870)/F870</f>
        <v>-2.9931093884582337E-2</v>
      </c>
    </row>
    <row r="872" spans="1:8" x14ac:dyDescent="0.3">
      <c r="A872" s="5">
        <v>45792</v>
      </c>
      <c r="B872" s="6" t="s">
        <v>41</v>
      </c>
      <c r="C872" s="6">
        <v>593.82000000000005</v>
      </c>
      <c r="D872" s="6">
        <v>599.94000000000005</v>
      </c>
      <c r="E872" s="6">
        <v>587.69000000000005</v>
      </c>
      <c r="F872" s="6">
        <v>593.05999999999995</v>
      </c>
      <c r="G872" s="6">
        <v>22133</v>
      </c>
      <c r="H872" s="10">
        <f>(Table7[[#This Row],[close]]-F871)/F871</f>
        <v>1.2652608213096505E-2</v>
      </c>
    </row>
    <row r="873" spans="1:8" x14ac:dyDescent="0.3">
      <c r="A873" s="5">
        <v>45793</v>
      </c>
      <c r="B873" s="6" t="s">
        <v>41</v>
      </c>
      <c r="C873" s="6">
        <v>582.07000000000005</v>
      </c>
      <c r="D873" s="6">
        <v>586.44000000000005</v>
      </c>
      <c r="E873" s="6">
        <v>577.70000000000005</v>
      </c>
      <c r="F873" s="6">
        <v>585.73</v>
      </c>
      <c r="G873" s="6">
        <v>13192</v>
      </c>
      <c r="H873" s="10">
        <f>(Table7[[#This Row],[close]]-F872)/F872</f>
        <v>-1.235962634472048E-2</v>
      </c>
    </row>
    <row r="874" spans="1:8" x14ac:dyDescent="0.3">
      <c r="A874" s="5">
        <v>45796</v>
      </c>
      <c r="B874" s="6" t="s">
        <v>41</v>
      </c>
      <c r="C874" s="6">
        <v>585.13</v>
      </c>
      <c r="D874" s="6">
        <v>592.79999999999995</v>
      </c>
      <c r="E874" s="6">
        <v>577.46</v>
      </c>
      <c r="F874" s="6">
        <v>585.66</v>
      </c>
      <c r="G874" s="6">
        <v>22259</v>
      </c>
      <c r="H874" s="10">
        <f>(Table7[[#This Row],[close]]-F873)/F873</f>
        <v>-1.1950898878331317E-4</v>
      </c>
    </row>
    <row r="875" spans="1:8" x14ac:dyDescent="0.3">
      <c r="A875" s="5">
        <v>45797</v>
      </c>
      <c r="B875" s="6" t="s">
        <v>41</v>
      </c>
      <c r="C875" s="6">
        <v>583.30999999999995</v>
      </c>
      <c r="D875" s="6">
        <v>589.98</v>
      </c>
      <c r="E875" s="6">
        <v>576.64</v>
      </c>
      <c r="F875" s="6">
        <v>584.66</v>
      </c>
      <c r="G875" s="6">
        <v>48269</v>
      </c>
      <c r="H875" s="10">
        <f>(Table7[[#This Row],[close]]-F874)/F874</f>
        <v>-1.7074753269815252E-3</v>
      </c>
    </row>
    <row r="876" spans="1:8" x14ac:dyDescent="0.3">
      <c r="A876" s="5">
        <v>45798</v>
      </c>
      <c r="B876" s="6" t="s">
        <v>41</v>
      </c>
      <c r="C876" s="6">
        <v>596.15</v>
      </c>
      <c r="D876" s="6">
        <v>602.25</v>
      </c>
      <c r="E876" s="6">
        <v>590.04999999999995</v>
      </c>
      <c r="F876" s="6">
        <v>595.87</v>
      </c>
      <c r="G876" s="6">
        <v>6213</v>
      </c>
      <c r="H876" s="10">
        <f>(Table7[[#This Row],[close]]-F875)/F875</f>
        <v>1.9173536756405495E-2</v>
      </c>
    </row>
    <row r="877" spans="1:8" x14ac:dyDescent="0.3">
      <c r="A877" s="5">
        <v>45799</v>
      </c>
      <c r="B877" s="6" t="s">
        <v>41</v>
      </c>
      <c r="C877" s="6">
        <v>598.41999999999996</v>
      </c>
      <c r="D877" s="6">
        <v>607.16999999999996</v>
      </c>
      <c r="E877" s="6">
        <v>589.66999999999996</v>
      </c>
      <c r="F877" s="6">
        <v>596.65</v>
      </c>
      <c r="G877" s="6">
        <v>26520</v>
      </c>
      <c r="H877" s="10">
        <f>(Table7[[#This Row],[close]]-F876)/F876</f>
        <v>1.3090103546075029E-3</v>
      </c>
    </row>
    <row r="878" spans="1:8" x14ac:dyDescent="0.3">
      <c r="A878" s="5">
        <v>45800</v>
      </c>
      <c r="B878" s="6" t="s">
        <v>41</v>
      </c>
      <c r="C878" s="6">
        <v>599.02</v>
      </c>
      <c r="D878" s="6">
        <v>606.24</v>
      </c>
      <c r="E878" s="6">
        <v>591.79999999999995</v>
      </c>
      <c r="F878" s="6">
        <v>602.9</v>
      </c>
      <c r="G878" s="6">
        <v>43570</v>
      </c>
      <c r="H878" s="10">
        <f>(Table7[[#This Row],[close]]-F877)/F877</f>
        <v>1.0475152937232885E-2</v>
      </c>
    </row>
    <row r="879" spans="1:8" x14ac:dyDescent="0.3">
      <c r="A879" s="5">
        <v>45803</v>
      </c>
      <c r="B879" s="6" t="s">
        <v>41</v>
      </c>
      <c r="C879" s="6">
        <v>608.66</v>
      </c>
      <c r="D879" s="6">
        <v>614.41</v>
      </c>
      <c r="E879" s="6">
        <v>602.9</v>
      </c>
      <c r="F879" s="6">
        <v>607.21</v>
      </c>
      <c r="G879" s="6">
        <v>12413</v>
      </c>
      <c r="H879" s="10">
        <f>(Table7[[#This Row],[close]]-F878)/F878</f>
        <v>7.1487808923537226E-3</v>
      </c>
    </row>
    <row r="880" spans="1:8" x14ac:dyDescent="0.3">
      <c r="A880" s="5">
        <v>45804</v>
      </c>
      <c r="B880" s="6" t="s">
        <v>41</v>
      </c>
      <c r="C880" s="6">
        <v>621.78</v>
      </c>
      <c r="D880" s="6">
        <v>626.53</v>
      </c>
      <c r="E880" s="6">
        <v>617.03</v>
      </c>
      <c r="F880" s="6">
        <v>617.85</v>
      </c>
      <c r="G880" s="6">
        <v>24513</v>
      </c>
      <c r="H880" s="10">
        <f>(Table7[[#This Row],[close]]-F879)/F879</f>
        <v>1.752276807035455E-2</v>
      </c>
    </row>
    <row r="881" spans="1:8" x14ac:dyDescent="0.3">
      <c r="A881" s="5">
        <v>45805</v>
      </c>
      <c r="B881" s="6" t="s">
        <v>41</v>
      </c>
      <c r="C881" s="6">
        <v>612.91999999999996</v>
      </c>
      <c r="D881" s="6">
        <v>617.17999999999995</v>
      </c>
      <c r="E881" s="6">
        <v>608.66</v>
      </c>
      <c r="F881" s="6">
        <v>616.14</v>
      </c>
      <c r="G881" s="6">
        <v>30299</v>
      </c>
      <c r="H881" s="10">
        <f>(Table7[[#This Row],[close]]-F880)/F880</f>
        <v>-2.7676620538966356E-3</v>
      </c>
    </row>
    <row r="882" spans="1:8" x14ac:dyDescent="0.3">
      <c r="A882" s="5">
        <v>45806</v>
      </c>
      <c r="B882" s="6" t="s">
        <v>41</v>
      </c>
      <c r="C882" s="6">
        <v>628.16999999999996</v>
      </c>
      <c r="D882" s="6">
        <v>634.08000000000004</v>
      </c>
      <c r="E882" s="6">
        <v>622.26</v>
      </c>
      <c r="F882" s="6">
        <v>630.97</v>
      </c>
      <c r="G882" s="6">
        <v>23250</v>
      </c>
      <c r="H882" s="10">
        <f>(Table7[[#This Row],[close]]-F881)/F881</f>
        <v>2.4069205050800211E-2</v>
      </c>
    </row>
    <row r="883" spans="1:8" x14ac:dyDescent="0.3">
      <c r="A883" s="5">
        <v>45807</v>
      </c>
      <c r="B883" s="6" t="s">
        <v>41</v>
      </c>
      <c r="C883" s="6">
        <v>611.52</v>
      </c>
      <c r="D883" s="6">
        <v>618.13</v>
      </c>
      <c r="E883" s="6">
        <v>604.91</v>
      </c>
      <c r="F883" s="6">
        <v>615.53</v>
      </c>
      <c r="G883" s="6">
        <v>2262</v>
      </c>
      <c r="H883" s="10">
        <f>(Table7[[#This Row],[close]]-F882)/F882</f>
        <v>-2.4470260075756461E-2</v>
      </c>
    </row>
    <row r="884" spans="1:8" x14ac:dyDescent="0.3">
      <c r="A884" s="5">
        <v>45810</v>
      </c>
      <c r="B884" s="6" t="s">
        <v>41</v>
      </c>
      <c r="C884" s="6">
        <v>624.28</v>
      </c>
      <c r="D884" s="6">
        <v>630.87</v>
      </c>
      <c r="E884" s="6">
        <v>617.69000000000005</v>
      </c>
      <c r="F884" s="6">
        <v>622.37</v>
      </c>
      <c r="G884" s="6">
        <v>41150</v>
      </c>
      <c r="H884" s="10">
        <f>(Table7[[#This Row],[close]]-F883)/F883</f>
        <v>1.1112374701476828E-2</v>
      </c>
    </row>
    <row r="885" spans="1:8" x14ac:dyDescent="0.3">
      <c r="A885" s="5">
        <v>45811</v>
      </c>
      <c r="B885" s="6" t="s">
        <v>41</v>
      </c>
      <c r="C885" s="6">
        <v>612.58000000000004</v>
      </c>
      <c r="D885" s="6">
        <v>619.28</v>
      </c>
      <c r="E885" s="6">
        <v>605.87</v>
      </c>
      <c r="F885" s="6">
        <v>615.75</v>
      </c>
      <c r="G885" s="6">
        <v>29850</v>
      </c>
      <c r="H885" s="10">
        <f>(Table7[[#This Row],[close]]-F884)/F884</f>
        <v>-1.0636759483908293E-2</v>
      </c>
    </row>
    <row r="886" spans="1:8" x14ac:dyDescent="0.3">
      <c r="A886" s="5">
        <v>45812</v>
      </c>
      <c r="B886" s="6" t="s">
        <v>41</v>
      </c>
      <c r="C886" s="6">
        <v>606.78</v>
      </c>
      <c r="D886" s="6">
        <v>612.46</v>
      </c>
      <c r="E886" s="6">
        <v>601.1</v>
      </c>
      <c r="F886" s="6">
        <v>612.09</v>
      </c>
      <c r="G886" s="6">
        <v>47830</v>
      </c>
      <c r="H886" s="10">
        <f>(Table7[[#This Row],[close]]-F885)/F885</f>
        <v>-5.9439707673568298E-3</v>
      </c>
    </row>
    <row r="887" spans="1:8" x14ac:dyDescent="0.3">
      <c r="A887" s="5">
        <v>45813</v>
      </c>
      <c r="B887" s="6" t="s">
        <v>41</v>
      </c>
      <c r="C887" s="6">
        <v>616.54</v>
      </c>
      <c r="D887" s="6">
        <v>624.08000000000004</v>
      </c>
      <c r="E887" s="6">
        <v>609.01</v>
      </c>
      <c r="F887" s="6">
        <v>616.64</v>
      </c>
      <c r="G887" s="6">
        <v>34998</v>
      </c>
      <c r="H887" s="10">
        <f>(Table7[[#This Row],[close]]-F886)/F886</f>
        <v>7.4335473541471912E-3</v>
      </c>
    </row>
    <row r="888" spans="1:8" x14ac:dyDescent="0.3">
      <c r="A888" s="5">
        <v>45814</v>
      </c>
      <c r="B888" s="6" t="s">
        <v>41</v>
      </c>
      <c r="C888" s="6">
        <v>626.04</v>
      </c>
      <c r="D888" s="6">
        <v>631.69000000000005</v>
      </c>
      <c r="E888" s="6">
        <v>620.39</v>
      </c>
      <c r="F888" s="6">
        <v>621.16999999999996</v>
      </c>
      <c r="G888" s="6">
        <v>15715</v>
      </c>
      <c r="H888" s="10">
        <f>(Table7[[#This Row],[close]]-F887)/F887</f>
        <v>7.3462636222106463E-3</v>
      </c>
    </row>
    <row r="889" spans="1:8" x14ac:dyDescent="0.3">
      <c r="A889" s="5">
        <v>45817</v>
      </c>
      <c r="B889" s="6" t="s">
        <v>41</v>
      </c>
      <c r="C889" s="6">
        <v>620.39</v>
      </c>
      <c r="D889" s="6">
        <v>626.91999999999996</v>
      </c>
      <c r="E889" s="6">
        <v>613.87</v>
      </c>
      <c r="F889" s="6">
        <v>626.08000000000004</v>
      </c>
      <c r="G889" s="6">
        <v>14232</v>
      </c>
      <c r="H889" s="10">
        <f>(Table7[[#This Row],[close]]-F888)/F888</f>
        <v>7.9044383985061775E-3</v>
      </c>
    </row>
    <row r="890" spans="1:8" x14ac:dyDescent="0.3">
      <c r="A890" s="5">
        <v>45818</v>
      </c>
      <c r="B890" s="6" t="s">
        <v>41</v>
      </c>
      <c r="C890" s="6">
        <v>614.02</v>
      </c>
      <c r="D890" s="6">
        <v>623.63</v>
      </c>
      <c r="E890" s="6">
        <v>604.41</v>
      </c>
      <c r="F890" s="6">
        <v>615.39</v>
      </c>
      <c r="G890" s="6">
        <v>26500</v>
      </c>
      <c r="H890" s="10">
        <f>(Table7[[#This Row],[close]]-F889)/F889</f>
        <v>-1.7074495272169778E-2</v>
      </c>
    </row>
    <row r="891" spans="1:8" x14ac:dyDescent="0.3">
      <c r="A891" s="5">
        <v>45819</v>
      </c>
      <c r="B891" s="6" t="s">
        <v>41</v>
      </c>
      <c r="C891" s="6">
        <v>624.99</v>
      </c>
      <c r="D891" s="6">
        <v>627.94000000000005</v>
      </c>
      <c r="E891" s="6">
        <v>622.04</v>
      </c>
      <c r="F891" s="6">
        <v>626.88</v>
      </c>
      <c r="G891" s="6">
        <v>23449</v>
      </c>
      <c r="H891" s="10">
        <f>(Table7[[#This Row],[close]]-F890)/F890</f>
        <v>1.8671086627992019E-2</v>
      </c>
    </row>
    <row r="892" spans="1:8" x14ac:dyDescent="0.3">
      <c r="A892" s="5">
        <v>45820</v>
      </c>
      <c r="B892" s="6" t="s">
        <v>41</v>
      </c>
      <c r="C892" s="6">
        <v>621.49</v>
      </c>
      <c r="D892" s="6">
        <v>625.11</v>
      </c>
      <c r="E892" s="6">
        <v>617.87</v>
      </c>
      <c r="F892" s="6">
        <v>619.95000000000005</v>
      </c>
      <c r="G892" s="6">
        <v>26338</v>
      </c>
      <c r="H892" s="10">
        <f>(Table7[[#This Row],[close]]-F891)/F891</f>
        <v>-1.1054747320061176E-2</v>
      </c>
    </row>
    <row r="893" spans="1:8" x14ac:dyDescent="0.3">
      <c r="A893" s="5">
        <v>45821</v>
      </c>
      <c r="B893" s="6" t="s">
        <v>41</v>
      </c>
      <c r="C893" s="6">
        <v>615.36</v>
      </c>
      <c r="D893" s="6">
        <v>619.89</v>
      </c>
      <c r="E893" s="6">
        <v>610.83000000000004</v>
      </c>
      <c r="F893" s="6">
        <v>614.13</v>
      </c>
      <c r="G893" s="6">
        <v>46961</v>
      </c>
      <c r="H893" s="10">
        <f>(Table7[[#This Row],[close]]-F892)/F892</f>
        <v>-9.387853859182272E-3</v>
      </c>
    </row>
    <row r="894" spans="1:8" x14ac:dyDescent="0.3">
      <c r="A894" s="5">
        <v>45824</v>
      </c>
      <c r="B894" s="6" t="s">
        <v>41</v>
      </c>
      <c r="C894" s="6">
        <v>616.98</v>
      </c>
      <c r="D894" s="6">
        <v>620.16</v>
      </c>
      <c r="E894" s="6">
        <v>613.79999999999995</v>
      </c>
      <c r="F894" s="6">
        <v>619.23</v>
      </c>
      <c r="G894" s="6">
        <v>20539</v>
      </c>
      <c r="H894" s="10">
        <f>(Table7[[#This Row],[close]]-F893)/F893</f>
        <v>8.3044306580040434E-3</v>
      </c>
    </row>
    <row r="895" spans="1:8" x14ac:dyDescent="0.3">
      <c r="A895" s="5">
        <v>45825</v>
      </c>
      <c r="B895" s="6" t="s">
        <v>41</v>
      </c>
      <c r="C895" s="6">
        <v>618.47</v>
      </c>
      <c r="D895" s="6">
        <v>629.16</v>
      </c>
      <c r="E895" s="6">
        <v>607.78</v>
      </c>
      <c r="F895" s="6">
        <v>617.15</v>
      </c>
      <c r="G895" s="6">
        <v>15119</v>
      </c>
      <c r="H895" s="10">
        <f>(Table7[[#This Row],[close]]-F894)/F894</f>
        <v>-3.3590103838638968E-3</v>
      </c>
    </row>
    <row r="896" spans="1:8" x14ac:dyDescent="0.3">
      <c r="A896" s="5">
        <v>45826</v>
      </c>
      <c r="B896" s="6" t="s">
        <v>41</v>
      </c>
      <c r="C896" s="6">
        <v>620.35</v>
      </c>
      <c r="D896" s="6">
        <v>621.12</v>
      </c>
      <c r="E896" s="6">
        <v>619.59</v>
      </c>
      <c r="F896" s="6">
        <v>619.70000000000005</v>
      </c>
      <c r="G896" s="6">
        <v>35710</v>
      </c>
      <c r="H896" s="10">
        <f>(Table7[[#This Row],[close]]-F895)/F895</f>
        <v>4.1318966215669909E-3</v>
      </c>
    </row>
    <row r="897" spans="1:8" x14ac:dyDescent="0.3">
      <c r="A897" s="5">
        <v>45827</v>
      </c>
      <c r="B897" s="6" t="s">
        <v>41</v>
      </c>
      <c r="C897" s="6">
        <v>606.08000000000004</v>
      </c>
      <c r="D897" s="6">
        <v>612.86</v>
      </c>
      <c r="E897" s="6">
        <v>599.29</v>
      </c>
      <c r="F897" s="6">
        <v>603.23</v>
      </c>
      <c r="G897" s="6">
        <v>26479</v>
      </c>
      <c r="H897" s="10">
        <f>(Table7[[#This Row],[close]]-F896)/F896</f>
        <v>-2.6577376149749921E-2</v>
      </c>
    </row>
    <row r="898" spans="1:8" x14ac:dyDescent="0.3">
      <c r="A898" s="5">
        <v>45828</v>
      </c>
      <c r="B898" s="6" t="s">
        <v>41</v>
      </c>
      <c r="C898" s="6">
        <v>606.75</v>
      </c>
      <c r="D898" s="6">
        <v>608.20000000000005</v>
      </c>
      <c r="E898" s="6">
        <v>605.29</v>
      </c>
      <c r="F898" s="6">
        <v>605.54</v>
      </c>
      <c r="G898" s="6">
        <v>18033</v>
      </c>
      <c r="H898" s="10">
        <f>(Table7[[#This Row],[close]]-F897)/F897</f>
        <v>3.8293851433117473E-3</v>
      </c>
    </row>
    <row r="899" spans="1:8" x14ac:dyDescent="0.3">
      <c r="A899" s="5">
        <v>45831</v>
      </c>
      <c r="B899" s="6" t="s">
        <v>41</v>
      </c>
      <c r="C899" s="6">
        <v>606.75</v>
      </c>
      <c r="D899" s="6">
        <v>610.46</v>
      </c>
      <c r="E899" s="6">
        <v>603.03</v>
      </c>
      <c r="F899" s="6">
        <v>607.35</v>
      </c>
      <c r="G899" s="6">
        <v>18420</v>
      </c>
      <c r="H899" s="10">
        <f>(Table7[[#This Row],[close]]-F898)/F898</f>
        <v>2.9890676090762944E-3</v>
      </c>
    </row>
    <row r="900" spans="1:8" x14ac:dyDescent="0.3">
      <c r="A900" s="5">
        <v>45832</v>
      </c>
      <c r="B900" s="6" t="s">
        <v>41</v>
      </c>
      <c r="C900" s="6">
        <v>602.71</v>
      </c>
      <c r="D900" s="6">
        <v>604.36</v>
      </c>
      <c r="E900" s="6">
        <v>601.05999999999995</v>
      </c>
      <c r="F900" s="6">
        <v>603.6</v>
      </c>
      <c r="G900" s="6">
        <v>12349</v>
      </c>
      <c r="H900" s="10">
        <f>(Table7[[#This Row],[close]]-F899)/F899</f>
        <v>-6.1743640405038276E-3</v>
      </c>
    </row>
    <row r="901" spans="1:8" x14ac:dyDescent="0.3">
      <c r="A901" s="5">
        <v>45833</v>
      </c>
      <c r="B901" s="6" t="s">
        <v>41</v>
      </c>
      <c r="C901" s="6">
        <v>588.89</v>
      </c>
      <c r="D901" s="6">
        <v>598.74</v>
      </c>
      <c r="E901" s="6">
        <v>579.04</v>
      </c>
      <c r="F901" s="6">
        <v>588.16999999999996</v>
      </c>
      <c r="G901" s="6">
        <v>13453</v>
      </c>
      <c r="H901" s="10">
        <f>(Table7[[#This Row],[close]]-F900)/F900</f>
        <v>-2.556328694499679E-2</v>
      </c>
    </row>
    <row r="902" spans="1:8" x14ac:dyDescent="0.3">
      <c r="A902" s="5">
        <v>45834</v>
      </c>
      <c r="B902" s="6" t="s">
        <v>41</v>
      </c>
      <c r="C902" s="6">
        <v>590.9</v>
      </c>
      <c r="D902" s="6">
        <v>596.89</v>
      </c>
      <c r="E902" s="6">
        <v>584.91999999999996</v>
      </c>
      <c r="F902" s="6">
        <v>586.74</v>
      </c>
      <c r="G902" s="6">
        <v>16830</v>
      </c>
      <c r="H902" s="10">
        <f>(Table7[[#This Row],[close]]-F901)/F901</f>
        <v>-2.4312698709555913E-3</v>
      </c>
    </row>
    <row r="903" spans="1:8" x14ac:dyDescent="0.3">
      <c r="A903" s="5">
        <v>45835</v>
      </c>
      <c r="B903" s="6" t="s">
        <v>41</v>
      </c>
      <c r="C903" s="6">
        <v>582.32000000000005</v>
      </c>
      <c r="D903" s="6">
        <v>587.76</v>
      </c>
      <c r="E903" s="6">
        <v>576.87</v>
      </c>
      <c r="F903" s="6">
        <v>586.6</v>
      </c>
      <c r="G903" s="6">
        <v>46066</v>
      </c>
      <c r="H903" s="10">
        <f>(Table7[[#This Row],[close]]-F902)/F902</f>
        <v>-2.3860653781911299E-4</v>
      </c>
    </row>
    <row r="904" spans="1:8" x14ac:dyDescent="0.3">
      <c r="A904" s="5">
        <v>45838</v>
      </c>
      <c r="B904" s="6" t="s">
        <v>41</v>
      </c>
      <c r="C904" s="6">
        <v>582.63</v>
      </c>
      <c r="D904" s="6">
        <v>590.62</v>
      </c>
      <c r="E904" s="6">
        <v>574.65</v>
      </c>
      <c r="F904" s="6">
        <v>584.03</v>
      </c>
      <c r="G904" s="6">
        <v>11692</v>
      </c>
      <c r="H904" s="10">
        <f>(Table7[[#This Row],[close]]-F903)/F903</f>
        <v>-4.3811796795091206E-3</v>
      </c>
    </row>
    <row r="905" spans="1:8" x14ac:dyDescent="0.3">
      <c r="A905" s="5">
        <v>45658</v>
      </c>
      <c r="B905" s="6" t="s">
        <v>43</v>
      </c>
      <c r="C905" s="6">
        <v>991.39</v>
      </c>
      <c r="D905" s="6">
        <v>1001.97</v>
      </c>
      <c r="E905" s="6">
        <v>980.81</v>
      </c>
      <c r="F905" s="6">
        <v>986.3</v>
      </c>
      <c r="G905" s="6">
        <v>25423</v>
      </c>
      <c r="H905" s="10">
        <f>(Table7[[#This Row],[close]]-F904)/F904</f>
        <v>0.68878311045665463</v>
      </c>
    </row>
    <row r="906" spans="1:8" x14ac:dyDescent="0.3">
      <c r="A906" s="5">
        <v>45659</v>
      </c>
      <c r="B906" s="6" t="s">
        <v>43</v>
      </c>
      <c r="C906" s="6">
        <v>972.56</v>
      </c>
      <c r="D906" s="6">
        <v>983.93</v>
      </c>
      <c r="E906" s="6">
        <v>961.19</v>
      </c>
      <c r="F906" s="6">
        <v>977.8</v>
      </c>
      <c r="G906" s="6">
        <v>2961</v>
      </c>
      <c r="H906" s="10">
        <f>(Table7[[#This Row],[close]]-F905)/F905</f>
        <v>-8.6180675250937845E-3</v>
      </c>
    </row>
    <row r="907" spans="1:8" x14ac:dyDescent="0.3">
      <c r="A907" s="5">
        <v>45660</v>
      </c>
      <c r="B907" s="6" t="s">
        <v>43</v>
      </c>
      <c r="C907" s="6">
        <v>985.67</v>
      </c>
      <c r="D907" s="6">
        <v>997.34</v>
      </c>
      <c r="E907" s="6">
        <v>974</v>
      </c>
      <c r="F907" s="6">
        <v>990.54</v>
      </c>
      <c r="G907" s="6">
        <v>14255</v>
      </c>
      <c r="H907" s="10">
        <f>(Table7[[#This Row],[close]]-F906)/F906</f>
        <v>1.3029249335242391E-2</v>
      </c>
    </row>
    <row r="908" spans="1:8" x14ac:dyDescent="0.3">
      <c r="A908" s="5">
        <v>45663</v>
      </c>
      <c r="B908" s="6" t="s">
        <v>43</v>
      </c>
      <c r="C908" s="6">
        <v>997.05</v>
      </c>
      <c r="D908" s="6">
        <v>1010.86</v>
      </c>
      <c r="E908" s="6">
        <v>983.24</v>
      </c>
      <c r="F908" s="6">
        <v>992.23</v>
      </c>
      <c r="G908" s="6">
        <v>21389</v>
      </c>
      <c r="H908" s="10">
        <f>(Table7[[#This Row],[close]]-F907)/F907</f>
        <v>1.7061400852061044E-3</v>
      </c>
    </row>
    <row r="909" spans="1:8" x14ac:dyDescent="0.3">
      <c r="A909" s="5">
        <v>45664</v>
      </c>
      <c r="B909" s="6" t="s">
        <v>43</v>
      </c>
      <c r="C909" s="6">
        <v>990.9</v>
      </c>
      <c r="D909" s="6">
        <v>992.43</v>
      </c>
      <c r="E909" s="6">
        <v>989.37</v>
      </c>
      <c r="F909" s="6">
        <v>991.2</v>
      </c>
      <c r="G909" s="6">
        <v>44919</v>
      </c>
      <c r="H909" s="10">
        <f>(Table7[[#This Row],[close]]-F908)/F908</f>
        <v>-1.038065771040961E-3</v>
      </c>
    </row>
    <row r="910" spans="1:8" x14ac:dyDescent="0.3">
      <c r="A910" s="5">
        <v>45665</v>
      </c>
      <c r="B910" s="6" t="s">
        <v>43</v>
      </c>
      <c r="C910" s="6">
        <v>999.71</v>
      </c>
      <c r="D910" s="6">
        <v>1009.49</v>
      </c>
      <c r="E910" s="6">
        <v>989.92</v>
      </c>
      <c r="F910" s="6">
        <v>995.36</v>
      </c>
      <c r="G910" s="6">
        <v>43358</v>
      </c>
      <c r="H910" s="10">
        <f>(Table7[[#This Row],[close]]-F909)/F909</f>
        <v>4.1969330104923005E-3</v>
      </c>
    </row>
    <row r="911" spans="1:8" x14ac:dyDescent="0.3">
      <c r="A911" s="5">
        <v>45666</v>
      </c>
      <c r="B911" s="6" t="s">
        <v>43</v>
      </c>
      <c r="C911" s="6">
        <v>1000.31</v>
      </c>
      <c r="D911" s="6">
        <v>1014.39</v>
      </c>
      <c r="E911" s="6">
        <v>986.23</v>
      </c>
      <c r="F911" s="6">
        <v>995.12</v>
      </c>
      <c r="G911" s="6">
        <v>32521</v>
      </c>
      <c r="H911" s="10">
        <f>(Table7[[#This Row],[close]]-F910)/F910</f>
        <v>-2.4111879119113595E-4</v>
      </c>
    </row>
    <row r="912" spans="1:8" x14ac:dyDescent="0.3">
      <c r="A912" s="5">
        <v>45667</v>
      </c>
      <c r="B912" s="6" t="s">
        <v>43</v>
      </c>
      <c r="C912" s="6">
        <v>1016.8</v>
      </c>
      <c r="D912" s="6">
        <v>1018.78</v>
      </c>
      <c r="E912" s="6">
        <v>1014.83</v>
      </c>
      <c r="F912" s="6">
        <v>1014.93</v>
      </c>
      <c r="G912" s="6">
        <v>32349</v>
      </c>
      <c r="H912" s="10">
        <f>(Table7[[#This Row],[close]]-F911)/F911</f>
        <v>1.9907146876758527E-2</v>
      </c>
    </row>
    <row r="913" spans="1:8" x14ac:dyDescent="0.3">
      <c r="A913" s="5">
        <v>45670</v>
      </c>
      <c r="B913" s="6" t="s">
        <v>43</v>
      </c>
      <c r="C913" s="6">
        <v>1004.74</v>
      </c>
      <c r="D913" s="6">
        <v>1018.95</v>
      </c>
      <c r="E913" s="6">
        <v>990.53</v>
      </c>
      <c r="F913" s="6">
        <v>1005.64</v>
      </c>
      <c r="G913" s="6">
        <v>33703</v>
      </c>
      <c r="H913" s="10">
        <f>(Table7[[#This Row],[close]]-F912)/F912</f>
        <v>-9.1533406244765289E-3</v>
      </c>
    </row>
    <row r="914" spans="1:8" x14ac:dyDescent="0.3">
      <c r="A914" s="5">
        <v>45671</v>
      </c>
      <c r="B914" s="6" t="s">
        <v>43</v>
      </c>
      <c r="C914" s="6">
        <v>995.94</v>
      </c>
      <c r="D914" s="6">
        <v>1000.42</v>
      </c>
      <c r="E914" s="6">
        <v>991.46</v>
      </c>
      <c r="F914" s="6">
        <v>994.99</v>
      </c>
      <c r="G914" s="6">
        <v>5247</v>
      </c>
      <c r="H914" s="10">
        <f>(Table7[[#This Row],[close]]-F913)/F913</f>
        <v>-1.0590270872280316E-2</v>
      </c>
    </row>
    <row r="915" spans="1:8" x14ac:dyDescent="0.3">
      <c r="A915" s="5">
        <v>45672</v>
      </c>
      <c r="B915" s="6" t="s">
        <v>43</v>
      </c>
      <c r="C915" s="6">
        <v>978.62</v>
      </c>
      <c r="D915" s="6">
        <v>994.02</v>
      </c>
      <c r="E915" s="6">
        <v>963.22</v>
      </c>
      <c r="F915" s="6">
        <v>978.03</v>
      </c>
      <c r="G915" s="6">
        <v>11703</v>
      </c>
      <c r="H915" s="10">
        <f>(Table7[[#This Row],[close]]-F914)/F914</f>
        <v>-1.704539744118035E-2</v>
      </c>
    </row>
    <row r="916" spans="1:8" x14ac:dyDescent="0.3">
      <c r="A916" s="5">
        <v>45673</v>
      </c>
      <c r="B916" s="6" t="s">
        <v>43</v>
      </c>
      <c r="C916" s="6">
        <v>974.75</v>
      </c>
      <c r="D916" s="6">
        <v>986.87</v>
      </c>
      <c r="E916" s="6">
        <v>962.64</v>
      </c>
      <c r="F916" s="6">
        <v>971.63</v>
      </c>
      <c r="G916" s="6">
        <v>13392</v>
      </c>
      <c r="H916" s="10">
        <f>(Table7[[#This Row],[close]]-F915)/F915</f>
        <v>-6.5437665511282658E-3</v>
      </c>
    </row>
    <row r="917" spans="1:8" x14ac:dyDescent="0.3">
      <c r="A917" s="5">
        <v>45674</v>
      </c>
      <c r="B917" s="6" t="s">
        <v>43</v>
      </c>
      <c r="C917" s="6">
        <v>961</v>
      </c>
      <c r="D917" s="6">
        <v>971.3</v>
      </c>
      <c r="E917" s="6">
        <v>950.7</v>
      </c>
      <c r="F917" s="6">
        <v>958.58</v>
      </c>
      <c r="G917" s="6">
        <v>7305</v>
      </c>
      <c r="H917" s="10">
        <f>(Table7[[#This Row],[close]]-F916)/F916</f>
        <v>-1.3431038564062405E-2</v>
      </c>
    </row>
    <row r="918" spans="1:8" x14ac:dyDescent="0.3">
      <c r="A918" s="5">
        <v>45677</v>
      </c>
      <c r="B918" s="6" t="s">
        <v>43</v>
      </c>
      <c r="C918" s="6">
        <v>966.25</v>
      </c>
      <c r="D918" s="6">
        <v>977.91</v>
      </c>
      <c r="E918" s="6">
        <v>954.59</v>
      </c>
      <c r="F918" s="6">
        <v>961.45</v>
      </c>
      <c r="G918" s="6">
        <v>13427</v>
      </c>
      <c r="H918" s="10">
        <f>(Table7[[#This Row],[close]]-F917)/F917</f>
        <v>2.9940119760479087E-3</v>
      </c>
    </row>
    <row r="919" spans="1:8" x14ac:dyDescent="0.3">
      <c r="A919" s="5">
        <v>45678</v>
      </c>
      <c r="B919" s="6" t="s">
        <v>43</v>
      </c>
      <c r="C919" s="6">
        <v>967.65</v>
      </c>
      <c r="D919" s="6">
        <v>979.42</v>
      </c>
      <c r="E919" s="6">
        <v>955.89</v>
      </c>
      <c r="F919" s="6">
        <v>961.93</v>
      </c>
      <c r="G919" s="6">
        <v>3230</v>
      </c>
      <c r="H919" s="10">
        <f>(Table7[[#This Row],[close]]-F918)/F918</f>
        <v>4.9924593062551821E-4</v>
      </c>
    </row>
    <row r="920" spans="1:8" x14ac:dyDescent="0.3">
      <c r="A920" s="5">
        <v>45679</v>
      </c>
      <c r="B920" s="6" t="s">
        <v>43</v>
      </c>
      <c r="C920" s="6">
        <v>946</v>
      </c>
      <c r="D920" s="6">
        <v>951.2</v>
      </c>
      <c r="E920" s="6">
        <v>940.81</v>
      </c>
      <c r="F920" s="6">
        <v>949.17</v>
      </c>
      <c r="G920" s="6">
        <v>27177</v>
      </c>
      <c r="H920" s="10">
        <f>(Table7[[#This Row],[close]]-F919)/F919</f>
        <v>-1.3264998492613799E-2</v>
      </c>
    </row>
    <row r="921" spans="1:8" x14ac:dyDescent="0.3">
      <c r="A921" s="5">
        <v>45680</v>
      </c>
      <c r="B921" s="6" t="s">
        <v>43</v>
      </c>
      <c r="C921" s="6">
        <v>954.96</v>
      </c>
      <c r="D921" s="6">
        <v>960</v>
      </c>
      <c r="E921" s="6">
        <v>949.92</v>
      </c>
      <c r="F921" s="6">
        <v>956.46</v>
      </c>
      <c r="G921" s="6">
        <v>47040</v>
      </c>
      <c r="H921" s="10">
        <f>(Table7[[#This Row],[close]]-F920)/F920</f>
        <v>7.6803944498878788E-3</v>
      </c>
    </row>
    <row r="922" spans="1:8" x14ac:dyDescent="0.3">
      <c r="A922" s="5">
        <v>45681</v>
      </c>
      <c r="B922" s="6" t="s">
        <v>43</v>
      </c>
      <c r="C922" s="6">
        <v>975.55</v>
      </c>
      <c r="D922" s="6">
        <v>991.98</v>
      </c>
      <c r="E922" s="6">
        <v>959.11</v>
      </c>
      <c r="F922" s="6">
        <v>975.15</v>
      </c>
      <c r="G922" s="6">
        <v>14780</v>
      </c>
      <c r="H922" s="10">
        <f>(Table7[[#This Row],[close]]-F921)/F921</f>
        <v>1.9540806724797629E-2</v>
      </c>
    </row>
    <row r="923" spans="1:8" x14ac:dyDescent="0.3">
      <c r="A923" s="5">
        <v>45684</v>
      </c>
      <c r="B923" s="6" t="s">
        <v>43</v>
      </c>
      <c r="C923" s="6">
        <v>981.78</v>
      </c>
      <c r="D923" s="6">
        <v>994.19</v>
      </c>
      <c r="E923" s="6">
        <v>969.38</v>
      </c>
      <c r="F923" s="6">
        <v>979.79</v>
      </c>
      <c r="G923" s="6">
        <v>39652</v>
      </c>
      <c r="H923" s="10">
        <f>(Table7[[#This Row],[close]]-F922)/F922</f>
        <v>4.7582423216940848E-3</v>
      </c>
    </row>
    <row r="924" spans="1:8" x14ac:dyDescent="0.3">
      <c r="A924" s="5">
        <v>45685</v>
      </c>
      <c r="B924" s="6" t="s">
        <v>43</v>
      </c>
      <c r="C924" s="6">
        <v>950.95</v>
      </c>
      <c r="D924" s="6">
        <v>958.47</v>
      </c>
      <c r="E924" s="6">
        <v>943.42</v>
      </c>
      <c r="F924" s="6">
        <v>949.12</v>
      </c>
      <c r="G924" s="6">
        <v>26901</v>
      </c>
      <c r="H924" s="10">
        <f>(Table7[[#This Row],[close]]-F923)/F923</f>
        <v>-3.1302626072933958E-2</v>
      </c>
    </row>
    <row r="925" spans="1:8" x14ac:dyDescent="0.3">
      <c r="A925" s="5">
        <v>45686</v>
      </c>
      <c r="B925" s="6" t="s">
        <v>43</v>
      </c>
      <c r="C925" s="6">
        <v>973.88</v>
      </c>
      <c r="D925" s="6">
        <v>985.72</v>
      </c>
      <c r="E925" s="6">
        <v>962.05</v>
      </c>
      <c r="F925" s="6">
        <v>973.41</v>
      </c>
      <c r="G925" s="6">
        <v>17260</v>
      </c>
      <c r="H925" s="10">
        <f>(Table7[[#This Row],[close]]-F924)/F924</f>
        <v>2.5592127444369481E-2</v>
      </c>
    </row>
    <row r="926" spans="1:8" x14ac:dyDescent="0.3">
      <c r="A926" s="5">
        <v>45687</v>
      </c>
      <c r="B926" s="6" t="s">
        <v>43</v>
      </c>
      <c r="C926" s="6">
        <v>985.89</v>
      </c>
      <c r="D926" s="6">
        <v>989.83</v>
      </c>
      <c r="E926" s="6">
        <v>981.96</v>
      </c>
      <c r="F926" s="6">
        <v>982.85</v>
      </c>
      <c r="G926" s="6">
        <v>42430</v>
      </c>
      <c r="H926" s="10">
        <f>(Table7[[#This Row],[close]]-F925)/F925</f>
        <v>9.6978662639587172E-3</v>
      </c>
    </row>
    <row r="927" spans="1:8" x14ac:dyDescent="0.3">
      <c r="A927" s="5">
        <v>45688</v>
      </c>
      <c r="B927" s="6" t="s">
        <v>43</v>
      </c>
      <c r="C927" s="6">
        <v>1004.86</v>
      </c>
      <c r="D927" s="6">
        <v>1020.89</v>
      </c>
      <c r="E927" s="6">
        <v>988.84</v>
      </c>
      <c r="F927" s="6">
        <v>1007.61</v>
      </c>
      <c r="G927" s="6">
        <v>14026</v>
      </c>
      <c r="H927" s="10">
        <f>(Table7[[#This Row],[close]]-F926)/F926</f>
        <v>2.5192043546828091E-2</v>
      </c>
    </row>
    <row r="928" spans="1:8" x14ac:dyDescent="0.3">
      <c r="A928" s="5">
        <v>45691</v>
      </c>
      <c r="B928" s="6" t="s">
        <v>43</v>
      </c>
      <c r="C928" s="6">
        <v>1020.87</v>
      </c>
      <c r="D928" s="6">
        <v>1033.3800000000001</v>
      </c>
      <c r="E928" s="6">
        <v>1008.37</v>
      </c>
      <c r="F928" s="6">
        <v>1021.8</v>
      </c>
      <c r="G928" s="6">
        <v>43946</v>
      </c>
      <c r="H928" s="10">
        <f>(Table7[[#This Row],[close]]-F927)/F927</f>
        <v>1.4082829666239855E-2</v>
      </c>
    </row>
    <row r="929" spans="1:8" x14ac:dyDescent="0.3">
      <c r="A929" s="5">
        <v>45692</v>
      </c>
      <c r="B929" s="6" t="s">
        <v>43</v>
      </c>
      <c r="C929" s="6">
        <v>1037.24</v>
      </c>
      <c r="D929" s="6">
        <v>1047.33</v>
      </c>
      <c r="E929" s="6">
        <v>1027.1500000000001</v>
      </c>
      <c r="F929" s="6">
        <v>1038.8</v>
      </c>
      <c r="G929" s="6">
        <v>8347</v>
      </c>
      <c r="H929" s="10">
        <f>(Table7[[#This Row],[close]]-F928)/F928</f>
        <v>1.6637306713642594E-2</v>
      </c>
    </row>
    <row r="930" spans="1:8" x14ac:dyDescent="0.3">
      <c r="A930" s="5">
        <v>45693</v>
      </c>
      <c r="B930" s="6" t="s">
        <v>43</v>
      </c>
      <c r="C930" s="6">
        <v>1033.24</v>
      </c>
      <c r="D930" s="6">
        <v>1041.96</v>
      </c>
      <c r="E930" s="6">
        <v>1024.51</v>
      </c>
      <c r="F930" s="6">
        <v>1041.73</v>
      </c>
      <c r="G930" s="6">
        <v>5668</v>
      </c>
      <c r="H930" s="10">
        <f>(Table7[[#This Row],[close]]-F929)/F929</f>
        <v>2.8205621871390681E-3</v>
      </c>
    </row>
    <row r="931" spans="1:8" x14ac:dyDescent="0.3">
      <c r="A931" s="5">
        <v>45694</v>
      </c>
      <c r="B931" s="6" t="s">
        <v>43</v>
      </c>
      <c r="C931" s="6">
        <v>1045.6199999999999</v>
      </c>
      <c r="D931" s="6">
        <v>1054.74</v>
      </c>
      <c r="E931" s="6">
        <v>1036.49</v>
      </c>
      <c r="F931" s="6">
        <v>1038.54</v>
      </c>
      <c r="G931" s="6">
        <v>35484</v>
      </c>
      <c r="H931" s="10">
        <f>(Table7[[#This Row],[close]]-F930)/F930</f>
        <v>-3.0622138173999544E-3</v>
      </c>
    </row>
    <row r="932" spans="1:8" x14ac:dyDescent="0.3">
      <c r="A932" s="5">
        <v>45695</v>
      </c>
      <c r="B932" s="6" t="s">
        <v>43</v>
      </c>
      <c r="C932" s="6">
        <v>1047.29</v>
      </c>
      <c r="D932" s="6">
        <v>1053.3800000000001</v>
      </c>
      <c r="E932" s="6">
        <v>1041.21</v>
      </c>
      <c r="F932" s="6">
        <v>1043.69</v>
      </c>
      <c r="G932" s="6">
        <v>35028</v>
      </c>
      <c r="H932" s="10">
        <f>(Table7[[#This Row],[close]]-F931)/F931</f>
        <v>4.9588845879793659E-3</v>
      </c>
    </row>
    <row r="933" spans="1:8" x14ac:dyDescent="0.3">
      <c r="A933" s="5">
        <v>45698</v>
      </c>
      <c r="B933" s="6" t="s">
        <v>43</v>
      </c>
      <c r="C933" s="6">
        <v>1038.3699999999999</v>
      </c>
      <c r="D933" s="6">
        <v>1046.77</v>
      </c>
      <c r="E933" s="6">
        <v>1029.98</v>
      </c>
      <c r="F933" s="6">
        <v>1034.6600000000001</v>
      </c>
      <c r="G933" s="6">
        <v>31266</v>
      </c>
      <c r="H933" s="10">
        <f>(Table7[[#This Row],[close]]-F932)/F932</f>
        <v>-8.6519943661431762E-3</v>
      </c>
    </row>
    <row r="934" spans="1:8" x14ac:dyDescent="0.3">
      <c r="A934" s="5">
        <v>45699</v>
      </c>
      <c r="B934" s="6" t="s">
        <v>43</v>
      </c>
      <c r="C934" s="6">
        <v>1039.08</v>
      </c>
      <c r="D934" s="6">
        <v>1052.96</v>
      </c>
      <c r="E934" s="6">
        <v>1025.2</v>
      </c>
      <c r="F934" s="6">
        <v>1040.58</v>
      </c>
      <c r="G934" s="6">
        <v>15011</v>
      </c>
      <c r="H934" s="10">
        <f>(Table7[[#This Row],[close]]-F933)/F933</f>
        <v>5.7216863510716996E-3</v>
      </c>
    </row>
    <row r="935" spans="1:8" x14ac:dyDescent="0.3">
      <c r="A935" s="5">
        <v>45700</v>
      </c>
      <c r="B935" s="6" t="s">
        <v>43</v>
      </c>
      <c r="C935" s="6">
        <v>1004.46</v>
      </c>
      <c r="D935" s="6">
        <v>1019.37</v>
      </c>
      <c r="E935" s="6">
        <v>989.55</v>
      </c>
      <c r="F935" s="6">
        <v>1006.94</v>
      </c>
      <c r="G935" s="6">
        <v>40019</v>
      </c>
      <c r="H935" s="10">
        <f>(Table7[[#This Row],[close]]-F934)/F934</f>
        <v>-3.2328124699686593E-2</v>
      </c>
    </row>
    <row r="936" spans="1:8" x14ac:dyDescent="0.3">
      <c r="A936" s="5">
        <v>45701</v>
      </c>
      <c r="B936" s="6" t="s">
        <v>43</v>
      </c>
      <c r="C936" s="6">
        <v>1007.03</v>
      </c>
      <c r="D936" s="6">
        <v>1009.81</v>
      </c>
      <c r="E936" s="6">
        <v>1004.25</v>
      </c>
      <c r="F936" s="6">
        <v>1007.73</v>
      </c>
      <c r="G936" s="6">
        <v>31663</v>
      </c>
      <c r="H936" s="10">
        <f>(Table7[[#This Row],[close]]-F935)/F935</f>
        <v>7.8455518700216856E-4</v>
      </c>
    </row>
    <row r="937" spans="1:8" x14ac:dyDescent="0.3">
      <c r="A937" s="5">
        <v>45702</v>
      </c>
      <c r="B937" s="6" t="s">
        <v>43</v>
      </c>
      <c r="C937" s="6">
        <v>1018.61</v>
      </c>
      <c r="D937" s="6">
        <v>1031.27</v>
      </c>
      <c r="E937" s="6">
        <v>1005.95</v>
      </c>
      <c r="F937" s="6">
        <v>1025.19</v>
      </c>
      <c r="G937" s="6">
        <v>42691</v>
      </c>
      <c r="H937" s="10">
        <f>(Table7[[#This Row],[close]]-F936)/F936</f>
        <v>1.7326069482897239E-2</v>
      </c>
    </row>
    <row r="938" spans="1:8" x14ac:dyDescent="0.3">
      <c r="A938" s="5">
        <v>45705</v>
      </c>
      <c r="B938" s="6" t="s">
        <v>43</v>
      </c>
      <c r="C938" s="6">
        <v>1034.08</v>
      </c>
      <c r="D938" s="6">
        <v>1046.8499999999999</v>
      </c>
      <c r="E938" s="6">
        <v>1021.32</v>
      </c>
      <c r="F938" s="6">
        <v>1026.6500000000001</v>
      </c>
      <c r="G938" s="6">
        <v>32417</v>
      </c>
      <c r="H938" s="10">
        <f>(Table7[[#This Row],[close]]-F937)/F937</f>
        <v>1.4241262595226605E-3</v>
      </c>
    </row>
    <row r="939" spans="1:8" x14ac:dyDescent="0.3">
      <c r="A939" s="5">
        <v>45706</v>
      </c>
      <c r="B939" s="6" t="s">
        <v>43</v>
      </c>
      <c r="C939" s="6">
        <v>1050.3699999999999</v>
      </c>
      <c r="D939" s="6">
        <v>1058.54</v>
      </c>
      <c r="E939" s="6">
        <v>1042.2</v>
      </c>
      <c r="F939" s="6">
        <v>1049.49</v>
      </c>
      <c r="G939" s="6">
        <v>47326</v>
      </c>
      <c r="H939" s="10">
        <f>(Table7[[#This Row],[close]]-F938)/F938</f>
        <v>2.2247114401207729E-2</v>
      </c>
    </row>
    <row r="940" spans="1:8" x14ac:dyDescent="0.3">
      <c r="A940" s="5">
        <v>45707</v>
      </c>
      <c r="B940" s="6" t="s">
        <v>43</v>
      </c>
      <c r="C940" s="6">
        <v>1047.18</v>
      </c>
      <c r="D940" s="6">
        <v>1048.68</v>
      </c>
      <c r="E940" s="6">
        <v>1045.69</v>
      </c>
      <c r="F940" s="6">
        <v>1046.26</v>
      </c>
      <c r="G940" s="6">
        <v>22031</v>
      </c>
      <c r="H940" s="10">
        <f>(Table7[[#This Row],[close]]-F939)/F939</f>
        <v>-3.077685351932861E-3</v>
      </c>
    </row>
    <row r="941" spans="1:8" x14ac:dyDescent="0.3">
      <c r="A941" s="5">
        <v>45708</v>
      </c>
      <c r="B941" s="6" t="s">
        <v>43</v>
      </c>
      <c r="C941" s="6">
        <v>1064.21</v>
      </c>
      <c r="D941" s="6">
        <v>1080.78</v>
      </c>
      <c r="E941" s="6">
        <v>1047.6400000000001</v>
      </c>
      <c r="F941" s="6">
        <v>1059.81</v>
      </c>
      <c r="G941" s="6">
        <v>30432</v>
      </c>
      <c r="H941" s="10">
        <f>(Table7[[#This Row],[close]]-F940)/F940</f>
        <v>1.2950891747749082E-2</v>
      </c>
    </row>
    <row r="942" spans="1:8" x14ac:dyDescent="0.3">
      <c r="A942" s="5">
        <v>45709</v>
      </c>
      <c r="B942" s="6" t="s">
        <v>43</v>
      </c>
      <c r="C942" s="6">
        <v>1050.69</v>
      </c>
      <c r="D942" s="6">
        <v>1060.51</v>
      </c>
      <c r="E942" s="6">
        <v>1040.8699999999999</v>
      </c>
      <c r="F942" s="6">
        <v>1048.4000000000001</v>
      </c>
      <c r="G942" s="6">
        <v>21884</v>
      </c>
      <c r="H942" s="10">
        <f>(Table7[[#This Row],[close]]-F941)/F941</f>
        <v>-1.0766080712580421E-2</v>
      </c>
    </row>
    <row r="943" spans="1:8" x14ac:dyDescent="0.3">
      <c r="A943" s="5">
        <v>45712</v>
      </c>
      <c r="B943" s="6" t="s">
        <v>43</v>
      </c>
      <c r="C943" s="6">
        <v>1068.53</v>
      </c>
      <c r="D943" s="6">
        <v>1077.25</v>
      </c>
      <c r="E943" s="6">
        <v>1059.81</v>
      </c>
      <c r="F943" s="6">
        <v>1061.44</v>
      </c>
      <c r="G943" s="6">
        <v>44618</v>
      </c>
      <c r="H943" s="10">
        <f>(Table7[[#This Row],[close]]-F942)/F942</f>
        <v>1.2438000763067496E-2</v>
      </c>
    </row>
    <row r="944" spans="1:8" x14ac:dyDescent="0.3">
      <c r="A944" s="5">
        <v>45713</v>
      </c>
      <c r="B944" s="6" t="s">
        <v>43</v>
      </c>
      <c r="C944" s="6">
        <v>1064.68</v>
      </c>
      <c r="D944" s="6">
        <v>1072.28</v>
      </c>
      <c r="E944" s="6">
        <v>1057.08</v>
      </c>
      <c r="F944" s="6">
        <v>1064.8</v>
      </c>
      <c r="G944" s="6">
        <v>21142</v>
      </c>
      <c r="H944" s="10">
        <f>(Table7[[#This Row],[close]]-F943)/F943</f>
        <v>3.1655110039191096E-3</v>
      </c>
    </row>
    <row r="945" spans="1:8" x14ac:dyDescent="0.3">
      <c r="A945" s="5">
        <v>45714</v>
      </c>
      <c r="B945" s="6" t="s">
        <v>43</v>
      </c>
      <c r="C945" s="6">
        <v>1056.74</v>
      </c>
      <c r="D945" s="6">
        <v>1063.21</v>
      </c>
      <c r="E945" s="6">
        <v>1050.27</v>
      </c>
      <c r="F945" s="6">
        <v>1062.1099999999999</v>
      </c>
      <c r="G945" s="6">
        <v>9848</v>
      </c>
      <c r="H945" s="10">
        <f>(Table7[[#This Row],[close]]-F944)/F944</f>
        <v>-2.5262960180316065E-3</v>
      </c>
    </row>
    <row r="946" spans="1:8" x14ac:dyDescent="0.3">
      <c r="A946" s="5">
        <v>45715</v>
      </c>
      <c r="B946" s="6" t="s">
        <v>43</v>
      </c>
      <c r="C946" s="6">
        <v>1033.3699999999999</v>
      </c>
      <c r="D946" s="6">
        <v>1045.6400000000001</v>
      </c>
      <c r="E946" s="6">
        <v>1021.1</v>
      </c>
      <c r="F946" s="6">
        <v>1028.47</v>
      </c>
      <c r="G946" s="6">
        <v>21908</v>
      </c>
      <c r="H946" s="10">
        <f>(Table7[[#This Row],[close]]-F945)/F945</f>
        <v>-3.1672802252120665E-2</v>
      </c>
    </row>
    <row r="947" spans="1:8" x14ac:dyDescent="0.3">
      <c r="A947" s="5">
        <v>45716</v>
      </c>
      <c r="B947" s="6" t="s">
        <v>43</v>
      </c>
      <c r="C947" s="6">
        <v>1031.78</v>
      </c>
      <c r="D947" s="6">
        <v>1042.67</v>
      </c>
      <c r="E947" s="6">
        <v>1020.88</v>
      </c>
      <c r="F947" s="6">
        <v>1025.42</v>
      </c>
      <c r="G947" s="6">
        <v>43222</v>
      </c>
      <c r="H947" s="10">
        <f>(Table7[[#This Row],[close]]-F946)/F946</f>
        <v>-2.9655702159518066E-3</v>
      </c>
    </row>
    <row r="948" spans="1:8" x14ac:dyDescent="0.3">
      <c r="A948" s="5">
        <v>45719</v>
      </c>
      <c r="B948" s="6" t="s">
        <v>43</v>
      </c>
      <c r="C948" s="6">
        <v>1023.93</v>
      </c>
      <c r="D948" s="6">
        <v>1031.3</v>
      </c>
      <c r="E948" s="6">
        <v>1016.57</v>
      </c>
      <c r="F948" s="6">
        <v>1028.43</v>
      </c>
      <c r="G948" s="6">
        <v>10968</v>
      </c>
      <c r="H948" s="10">
        <f>(Table7[[#This Row],[close]]-F947)/F947</f>
        <v>2.9353825749448914E-3</v>
      </c>
    </row>
    <row r="949" spans="1:8" x14ac:dyDescent="0.3">
      <c r="A949" s="5">
        <v>45720</v>
      </c>
      <c r="B949" s="6" t="s">
        <v>43</v>
      </c>
      <c r="C949" s="6">
        <v>1040.21</v>
      </c>
      <c r="D949" s="6">
        <v>1045.2</v>
      </c>
      <c r="E949" s="6">
        <v>1035.22</v>
      </c>
      <c r="F949" s="6">
        <v>1039.47</v>
      </c>
      <c r="G949" s="6">
        <v>10275</v>
      </c>
      <c r="H949" s="10">
        <f>(Table7[[#This Row],[close]]-F948)/F948</f>
        <v>1.0734809369621619E-2</v>
      </c>
    </row>
    <row r="950" spans="1:8" x14ac:dyDescent="0.3">
      <c r="A950" s="5">
        <v>45721</v>
      </c>
      <c r="B950" s="6" t="s">
        <v>43</v>
      </c>
      <c r="C950" s="6">
        <v>1051.72</v>
      </c>
      <c r="D950" s="6">
        <v>1062.8800000000001</v>
      </c>
      <c r="E950" s="6">
        <v>1040.56</v>
      </c>
      <c r="F950" s="6">
        <v>1060.3699999999999</v>
      </c>
      <c r="G950" s="6">
        <v>1406</v>
      </c>
      <c r="H950" s="10">
        <f>(Table7[[#This Row],[close]]-F949)/F949</f>
        <v>2.0106400377115127E-2</v>
      </c>
    </row>
    <row r="951" spans="1:8" x14ac:dyDescent="0.3">
      <c r="A951" s="5">
        <v>45722</v>
      </c>
      <c r="B951" s="6" t="s">
        <v>43</v>
      </c>
      <c r="C951" s="6">
        <v>1093.5899999999999</v>
      </c>
      <c r="D951" s="6">
        <v>1099.73</v>
      </c>
      <c r="E951" s="6">
        <v>1087.45</v>
      </c>
      <c r="F951" s="6">
        <v>1088.1600000000001</v>
      </c>
      <c r="G951" s="6">
        <v>45036</v>
      </c>
      <c r="H951" s="10">
        <f>(Table7[[#This Row],[close]]-F950)/F950</f>
        <v>2.6207833114856319E-2</v>
      </c>
    </row>
    <row r="952" spans="1:8" x14ac:dyDescent="0.3">
      <c r="A952" s="5">
        <v>45723</v>
      </c>
      <c r="B952" s="6" t="s">
        <v>43</v>
      </c>
      <c r="C952" s="6">
        <v>1106.33</v>
      </c>
      <c r="D952" s="6">
        <v>1112.54</v>
      </c>
      <c r="E952" s="6">
        <v>1100.1199999999999</v>
      </c>
      <c r="F952" s="6">
        <v>1105.6500000000001</v>
      </c>
      <c r="G952" s="6">
        <v>3618</v>
      </c>
      <c r="H952" s="10">
        <f>(Table7[[#This Row],[close]]-F951)/F951</f>
        <v>1.6073003970004419E-2</v>
      </c>
    </row>
    <row r="953" spans="1:8" x14ac:dyDescent="0.3">
      <c r="A953" s="5">
        <v>45726</v>
      </c>
      <c r="B953" s="6" t="s">
        <v>43</v>
      </c>
      <c r="C953" s="6">
        <v>1094.6500000000001</v>
      </c>
      <c r="D953" s="6">
        <v>1112.52</v>
      </c>
      <c r="E953" s="6">
        <v>1076.78</v>
      </c>
      <c r="F953" s="6">
        <v>1098.1099999999999</v>
      </c>
      <c r="G953" s="6">
        <v>40696</v>
      </c>
      <c r="H953" s="10">
        <f>(Table7[[#This Row],[close]]-F952)/F952</f>
        <v>-6.8195179306292141E-3</v>
      </c>
    </row>
    <row r="954" spans="1:8" x14ac:dyDescent="0.3">
      <c r="A954" s="5">
        <v>45727</v>
      </c>
      <c r="B954" s="6" t="s">
        <v>43</v>
      </c>
      <c r="C954" s="6">
        <v>1095.07</v>
      </c>
      <c r="D954" s="6">
        <v>1114.47</v>
      </c>
      <c r="E954" s="6">
        <v>1075.67</v>
      </c>
      <c r="F954" s="6">
        <v>1094.1600000000001</v>
      </c>
      <c r="G954" s="6">
        <v>15719</v>
      </c>
      <c r="H954" s="10">
        <f>(Table7[[#This Row],[close]]-F953)/F953</f>
        <v>-3.5970895447631096E-3</v>
      </c>
    </row>
    <row r="955" spans="1:8" x14ac:dyDescent="0.3">
      <c r="A955" s="5">
        <v>45728</v>
      </c>
      <c r="B955" s="6" t="s">
        <v>43</v>
      </c>
      <c r="C955" s="6">
        <v>1101.6400000000001</v>
      </c>
      <c r="D955" s="6">
        <v>1109.94</v>
      </c>
      <c r="E955" s="6">
        <v>1093.3399999999999</v>
      </c>
      <c r="F955" s="6">
        <v>1104.6500000000001</v>
      </c>
      <c r="G955" s="6">
        <v>25042</v>
      </c>
      <c r="H955" s="10">
        <f>(Table7[[#This Row],[close]]-F954)/F954</f>
        <v>9.5872632887329164E-3</v>
      </c>
    </row>
    <row r="956" spans="1:8" x14ac:dyDescent="0.3">
      <c r="A956" s="5">
        <v>45729</v>
      </c>
      <c r="B956" s="6" t="s">
        <v>43</v>
      </c>
      <c r="C956" s="6">
        <v>1104.95</v>
      </c>
      <c r="D956" s="6">
        <v>1113.1500000000001</v>
      </c>
      <c r="E956" s="6">
        <v>1096.75</v>
      </c>
      <c r="F956" s="6">
        <v>1112.17</v>
      </c>
      <c r="G956" s="6">
        <v>27514</v>
      </c>
      <c r="H956" s="10">
        <f>(Table7[[#This Row],[close]]-F955)/F955</f>
        <v>6.8075861132485234E-3</v>
      </c>
    </row>
    <row r="957" spans="1:8" x14ac:dyDescent="0.3">
      <c r="A957" s="5">
        <v>45730</v>
      </c>
      <c r="B957" s="6" t="s">
        <v>43</v>
      </c>
      <c r="C957" s="6">
        <v>1130.3900000000001</v>
      </c>
      <c r="D957" s="6">
        <v>1140.75</v>
      </c>
      <c r="E957" s="6">
        <v>1120.02</v>
      </c>
      <c r="F957" s="6">
        <v>1135.5</v>
      </c>
      <c r="G957" s="6">
        <v>46487</v>
      </c>
      <c r="H957" s="10">
        <f>(Table7[[#This Row],[close]]-F956)/F956</f>
        <v>2.0977008910508219E-2</v>
      </c>
    </row>
    <row r="958" spans="1:8" x14ac:dyDescent="0.3">
      <c r="A958" s="5">
        <v>45733</v>
      </c>
      <c r="B958" s="6" t="s">
        <v>43</v>
      </c>
      <c r="C958" s="6">
        <v>1168.6099999999999</v>
      </c>
      <c r="D958" s="6">
        <v>1172.9000000000001</v>
      </c>
      <c r="E958" s="6">
        <v>1164.31</v>
      </c>
      <c r="F958" s="6">
        <v>1171.81</v>
      </c>
      <c r="G958" s="6">
        <v>23908</v>
      </c>
      <c r="H958" s="10">
        <f>(Table7[[#This Row],[close]]-F957)/F957</f>
        <v>3.1977102597974413E-2</v>
      </c>
    </row>
    <row r="959" spans="1:8" x14ac:dyDescent="0.3">
      <c r="A959" s="5">
        <v>45734</v>
      </c>
      <c r="B959" s="6" t="s">
        <v>43</v>
      </c>
      <c r="C959" s="6">
        <v>1207.47</v>
      </c>
      <c r="D959" s="6">
        <v>1215.06</v>
      </c>
      <c r="E959" s="6">
        <v>1199.8900000000001</v>
      </c>
      <c r="F959" s="6">
        <v>1206.05</v>
      </c>
      <c r="G959" s="6">
        <v>38952</v>
      </c>
      <c r="H959" s="10">
        <f>(Table7[[#This Row],[close]]-F958)/F958</f>
        <v>2.9219754055691632E-2</v>
      </c>
    </row>
    <row r="960" spans="1:8" x14ac:dyDescent="0.3">
      <c r="A960" s="5">
        <v>45735</v>
      </c>
      <c r="B960" s="6" t="s">
        <v>43</v>
      </c>
      <c r="C960" s="6">
        <v>1225.49</v>
      </c>
      <c r="D960" s="6">
        <v>1240.17</v>
      </c>
      <c r="E960" s="6">
        <v>1210.82</v>
      </c>
      <c r="F960" s="6">
        <v>1229.25</v>
      </c>
      <c r="G960" s="6">
        <v>48929</v>
      </c>
      <c r="H960" s="10">
        <f>(Table7[[#This Row],[close]]-F959)/F959</f>
        <v>1.9236350068405163E-2</v>
      </c>
    </row>
    <row r="961" spans="1:8" x14ac:dyDescent="0.3">
      <c r="A961" s="5">
        <v>45736</v>
      </c>
      <c r="B961" s="6" t="s">
        <v>43</v>
      </c>
      <c r="C961" s="6">
        <v>1240.97</v>
      </c>
      <c r="D961" s="6">
        <v>1251.07</v>
      </c>
      <c r="E961" s="6">
        <v>1230.8699999999999</v>
      </c>
      <c r="F961" s="6">
        <v>1237.75</v>
      </c>
      <c r="G961" s="6">
        <v>30134</v>
      </c>
      <c r="H961" s="10">
        <f>(Table7[[#This Row],[close]]-F960)/F960</f>
        <v>6.9147854382753714E-3</v>
      </c>
    </row>
    <row r="962" spans="1:8" x14ac:dyDescent="0.3">
      <c r="A962" s="5">
        <v>45737</v>
      </c>
      <c r="B962" s="6" t="s">
        <v>43</v>
      </c>
      <c r="C962" s="6">
        <v>1261.96</v>
      </c>
      <c r="D962" s="6">
        <v>1269.23</v>
      </c>
      <c r="E962" s="6">
        <v>1254.7</v>
      </c>
      <c r="F962" s="6">
        <v>1259.27</v>
      </c>
      <c r="G962" s="6">
        <v>47799</v>
      </c>
      <c r="H962" s="10">
        <f>(Table7[[#This Row],[close]]-F961)/F961</f>
        <v>1.7386386588567952E-2</v>
      </c>
    </row>
    <row r="963" spans="1:8" x14ac:dyDescent="0.3">
      <c r="A963" s="5">
        <v>45740</v>
      </c>
      <c r="B963" s="6" t="s">
        <v>43</v>
      </c>
      <c r="C963" s="6">
        <v>1296.32</v>
      </c>
      <c r="D963" s="6">
        <v>1307.5</v>
      </c>
      <c r="E963" s="6">
        <v>1285.1400000000001</v>
      </c>
      <c r="F963" s="6">
        <v>1286.22</v>
      </c>
      <c r="G963" s="6">
        <v>38292</v>
      </c>
      <c r="H963" s="10">
        <f>(Table7[[#This Row],[close]]-F962)/F962</f>
        <v>2.1401288047837277E-2</v>
      </c>
    </row>
    <row r="964" spans="1:8" x14ac:dyDescent="0.3">
      <c r="A964" s="5">
        <v>45741</v>
      </c>
      <c r="B964" s="6" t="s">
        <v>43</v>
      </c>
      <c r="C964" s="6">
        <v>1280.31</v>
      </c>
      <c r="D964" s="6">
        <v>1289.79</v>
      </c>
      <c r="E964" s="6">
        <v>1270.83</v>
      </c>
      <c r="F964" s="6">
        <v>1284.1400000000001</v>
      </c>
      <c r="G964" s="6">
        <v>6313</v>
      </c>
      <c r="H964" s="10">
        <f>(Table7[[#This Row],[close]]-F963)/F963</f>
        <v>-1.6171417020415847E-3</v>
      </c>
    </row>
    <row r="965" spans="1:8" x14ac:dyDescent="0.3">
      <c r="A965" s="5">
        <v>45742</v>
      </c>
      <c r="B965" s="6" t="s">
        <v>43</v>
      </c>
      <c r="C965" s="6">
        <v>1280.01</v>
      </c>
      <c r="D965" s="6">
        <v>1290.07</v>
      </c>
      <c r="E965" s="6">
        <v>1269.95</v>
      </c>
      <c r="F965" s="6">
        <v>1275.8499999999999</v>
      </c>
      <c r="G965" s="6">
        <v>5887</v>
      </c>
      <c r="H965" s="10">
        <f>(Table7[[#This Row],[close]]-F964)/F964</f>
        <v>-6.4556824022304346E-3</v>
      </c>
    </row>
    <row r="966" spans="1:8" x14ac:dyDescent="0.3">
      <c r="A966" s="5">
        <v>45743</v>
      </c>
      <c r="B966" s="6" t="s">
        <v>43</v>
      </c>
      <c r="C966" s="6">
        <v>1272.8</v>
      </c>
      <c r="D966" s="6">
        <v>1288.3599999999999</v>
      </c>
      <c r="E966" s="6">
        <v>1257.25</v>
      </c>
      <c r="F966" s="6">
        <v>1263.8800000000001</v>
      </c>
      <c r="G966" s="6">
        <v>4558</v>
      </c>
      <c r="H966" s="10">
        <f>(Table7[[#This Row],[close]]-F965)/F965</f>
        <v>-9.3819806403572532E-3</v>
      </c>
    </row>
    <row r="967" spans="1:8" x14ac:dyDescent="0.3">
      <c r="A967" s="5">
        <v>45744</v>
      </c>
      <c r="B967" s="6" t="s">
        <v>43</v>
      </c>
      <c r="C967" s="6">
        <v>1241.97</v>
      </c>
      <c r="D967" s="6">
        <v>1255.81</v>
      </c>
      <c r="E967" s="6">
        <v>1228.1400000000001</v>
      </c>
      <c r="F967" s="6">
        <v>1250.3</v>
      </c>
      <c r="G967" s="6">
        <v>37343</v>
      </c>
      <c r="H967" s="10">
        <f>(Table7[[#This Row],[close]]-F966)/F966</f>
        <v>-1.0744690951672749E-2</v>
      </c>
    </row>
    <row r="968" spans="1:8" x14ac:dyDescent="0.3">
      <c r="A968" s="5">
        <v>45747</v>
      </c>
      <c r="B968" s="6" t="s">
        <v>43</v>
      </c>
      <c r="C968" s="6">
        <v>1230.05</v>
      </c>
      <c r="D968" s="6">
        <v>1240.43</v>
      </c>
      <c r="E968" s="6">
        <v>1219.68</v>
      </c>
      <c r="F968" s="6">
        <v>1229.01</v>
      </c>
      <c r="G968" s="6">
        <v>40887</v>
      </c>
      <c r="H968" s="10">
        <f>(Table7[[#This Row],[close]]-F967)/F967</f>
        <v>-1.7027913300807777E-2</v>
      </c>
    </row>
    <row r="969" spans="1:8" x14ac:dyDescent="0.3">
      <c r="A969" s="5">
        <v>45748</v>
      </c>
      <c r="B969" s="6" t="s">
        <v>43</v>
      </c>
      <c r="C969" s="6">
        <v>1228.8699999999999</v>
      </c>
      <c r="D969" s="6">
        <v>1243.1199999999999</v>
      </c>
      <c r="E969" s="6">
        <v>1214.6199999999999</v>
      </c>
      <c r="F969" s="6">
        <v>1233.18</v>
      </c>
      <c r="G969" s="6">
        <v>32601</v>
      </c>
      <c r="H969" s="10">
        <f>(Table7[[#This Row],[close]]-F968)/F968</f>
        <v>3.392974833402554E-3</v>
      </c>
    </row>
    <row r="970" spans="1:8" x14ac:dyDescent="0.3">
      <c r="A970" s="5">
        <v>45749</v>
      </c>
      <c r="B970" s="6" t="s">
        <v>43</v>
      </c>
      <c r="C970" s="6">
        <v>1221.06</v>
      </c>
      <c r="D970" s="6">
        <v>1234.53</v>
      </c>
      <c r="E970" s="6">
        <v>1207.5899999999999</v>
      </c>
      <c r="F970" s="6">
        <v>1218.03</v>
      </c>
      <c r="G970" s="6">
        <v>24099</v>
      </c>
      <c r="H970" s="10">
        <f>(Table7[[#This Row],[close]]-F969)/F969</f>
        <v>-1.2285311146791296E-2</v>
      </c>
    </row>
    <row r="971" spans="1:8" x14ac:dyDescent="0.3">
      <c r="A971" s="5">
        <v>45750</v>
      </c>
      <c r="B971" s="6" t="s">
        <v>43</v>
      </c>
      <c r="C971" s="6">
        <v>1200.93</v>
      </c>
      <c r="D971" s="6">
        <v>1217.06</v>
      </c>
      <c r="E971" s="6">
        <v>1184.79</v>
      </c>
      <c r="F971" s="6">
        <v>1206.3499999999999</v>
      </c>
      <c r="G971" s="6">
        <v>20094</v>
      </c>
      <c r="H971" s="10">
        <f>(Table7[[#This Row],[close]]-F970)/F970</f>
        <v>-9.5892547802599801E-3</v>
      </c>
    </row>
    <row r="972" spans="1:8" x14ac:dyDescent="0.3">
      <c r="A972" s="5">
        <v>45751</v>
      </c>
      <c r="B972" s="6" t="s">
        <v>43</v>
      </c>
      <c r="C972" s="6">
        <v>1220.9100000000001</v>
      </c>
      <c r="D972" s="6">
        <v>1237.6300000000001</v>
      </c>
      <c r="E972" s="6">
        <v>1204.2</v>
      </c>
      <c r="F972" s="6">
        <v>1217.3499999999999</v>
      </c>
      <c r="G972" s="6">
        <v>2657</v>
      </c>
      <c r="H972" s="10">
        <f>(Table7[[#This Row],[close]]-F971)/F971</f>
        <v>9.1184150536743076E-3</v>
      </c>
    </row>
    <row r="973" spans="1:8" x14ac:dyDescent="0.3">
      <c r="A973" s="5">
        <v>45754</v>
      </c>
      <c r="B973" s="6" t="s">
        <v>43</v>
      </c>
      <c r="C973" s="6">
        <v>1222.01</v>
      </c>
      <c r="D973" s="6">
        <v>1226.22</v>
      </c>
      <c r="E973" s="6">
        <v>1217.8</v>
      </c>
      <c r="F973" s="6">
        <v>1220.43</v>
      </c>
      <c r="G973" s="6">
        <v>4164</v>
      </c>
      <c r="H973" s="10">
        <f>(Table7[[#This Row],[close]]-F972)/F972</f>
        <v>2.5300858421983445E-3</v>
      </c>
    </row>
    <row r="974" spans="1:8" x14ac:dyDescent="0.3">
      <c r="A974" s="5">
        <v>45755</v>
      </c>
      <c r="B974" s="6" t="s">
        <v>43</v>
      </c>
      <c r="C974" s="6">
        <v>1235.49</v>
      </c>
      <c r="D974" s="6">
        <v>1249.81</v>
      </c>
      <c r="E974" s="6">
        <v>1221.18</v>
      </c>
      <c r="F974" s="6">
        <v>1227.3399999999999</v>
      </c>
      <c r="G974" s="6">
        <v>20601</v>
      </c>
      <c r="H974" s="10">
        <f>(Table7[[#This Row],[close]]-F973)/F973</f>
        <v>5.6619388248403055E-3</v>
      </c>
    </row>
    <row r="975" spans="1:8" x14ac:dyDescent="0.3">
      <c r="A975" s="5">
        <v>45756</v>
      </c>
      <c r="B975" s="6" t="s">
        <v>43</v>
      </c>
      <c r="C975" s="6">
        <v>1245.21</v>
      </c>
      <c r="D975" s="6">
        <v>1255.17</v>
      </c>
      <c r="E975" s="6">
        <v>1235.26</v>
      </c>
      <c r="F975" s="6">
        <v>1248.93</v>
      </c>
      <c r="G975" s="6">
        <v>5552</v>
      </c>
      <c r="H975" s="10">
        <f>(Table7[[#This Row],[close]]-F974)/F974</f>
        <v>1.7590887610605167E-2</v>
      </c>
    </row>
    <row r="976" spans="1:8" x14ac:dyDescent="0.3">
      <c r="A976" s="5">
        <v>45757</v>
      </c>
      <c r="B976" s="6" t="s">
        <v>43</v>
      </c>
      <c r="C976" s="6">
        <v>1259.57</v>
      </c>
      <c r="D976" s="6">
        <v>1270.7</v>
      </c>
      <c r="E976" s="6">
        <v>1248.44</v>
      </c>
      <c r="F976" s="6">
        <v>1262.9100000000001</v>
      </c>
      <c r="G976" s="6">
        <v>3671</v>
      </c>
      <c r="H976" s="10">
        <f>(Table7[[#This Row],[close]]-F975)/F975</f>
        <v>1.1193581705940299E-2</v>
      </c>
    </row>
    <row r="977" spans="1:8" x14ac:dyDescent="0.3">
      <c r="A977" s="5">
        <v>45758</v>
      </c>
      <c r="B977" s="6" t="s">
        <v>43</v>
      </c>
      <c r="C977" s="6">
        <v>1291.8</v>
      </c>
      <c r="D977" s="6">
        <v>1310.3900000000001</v>
      </c>
      <c r="E977" s="6">
        <v>1273.21</v>
      </c>
      <c r="F977" s="6">
        <v>1287.6199999999999</v>
      </c>
      <c r="G977" s="6">
        <v>4722</v>
      </c>
      <c r="H977" s="10">
        <f>(Table7[[#This Row],[close]]-F976)/F976</f>
        <v>1.9565923145750536E-2</v>
      </c>
    </row>
    <row r="978" spans="1:8" x14ac:dyDescent="0.3">
      <c r="A978" s="5">
        <v>45761</v>
      </c>
      <c r="B978" s="6" t="s">
        <v>43</v>
      </c>
      <c r="C978" s="6">
        <v>1289.43</v>
      </c>
      <c r="D978" s="6">
        <v>1307.5999999999999</v>
      </c>
      <c r="E978" s="6">
        <v>1271.26</v>
      </c>
      <c r="F978" s="6">
        <v>1289.22</v>
      </c>
      <c r="G978" s="6">
        <v>22438</v>
      </c>
      <c r="H978" s="10">
        <f>(Table7[[#This Row],[close]]-F977)/F977</f>
        <v>1.2426026312111777E-3</v>
      </c>
    </row>
    <row r="979" spans="1:8" x14ac:dyDescent="0.3">
      <c r="A979" s="5">
        <v>45762</v>
      </c>
      <c r="B979" s="6" t="s">
        <v>43</v>
      </c>
      <c r="C979" s="6">
        <v>1311.6</v>
      </c>
      <c r="D979" s="6">
        <v>1326.39</v>
      </c>
      <c r="E979" s="6">
        <v>1296.81</v>
      </c>
      <c r="F979" s="6">
        <v>1315.99</v>
      </c>
      <c r="G979" s="6">
        <v>33247</v>
      </c>
      <c r="H979" s="10">
        <f>(Table7[[#This Row],[close]]-F978)/F978</f>
        <v>2.0764493259490219E-2</v>
      </c>
    </row>
    <row r="980" spans="1:8" x14ac:dyDescent="0.3">
      <c r="A980" s="5">
        <v>45763</v>
      </c>
      <c r="B980" s="6" t="s">
        <v>43</v>
      </c>
      <c r="C980" s="6">
        <v>1320.41</v>
      </c>
      <c r="D980" s="6">
        <v>1343.58</v>
      </c>
      <c r="E980" s="6">
        <v>1297.24</v>
      </c>
      <c r="F980" s="6">
        <v>1322.28</v>
      </c>
      <c r="G980" s="6">
        <v>21435</v>
      </c>
      <c r="H980" s="10">
        <f>(Table7[[#This Row],[close]]-F979)/F979</f>
        <v>4.7796715780514774E-3</v>
      </c>
    </row>
    <row r="981" spans="1:8" x14ac:dyDescent="0.3">
      <c r="A981" s="5">
        <v>45764</v>
      </c>
      <c r="B981" s="6" t="s">
        <v>43</v>
      </c>
      <c r="C981" s="6">
        <v>1322.26</v>
      </c>
      <c r="D981" s="6">
        <v>1335.54</v>
      </c>
      <c r="E981" s="6">
        <v>1308.99</v>
      </c>
      <c r="F981" s="6">
        <v>1325.41</v>
      </c>
      <c r="G981" s="6">
        <v>28386</v>
      </c>
      <c r="H981" s="10">
        <f>(Table7[[#This Row],[close]]-F980)/F980</f>
        <v>2.3671234534290084E-3</v>
      </c>
    </row>
    <row r="982" spans="1:8" x14ac:dyDescent="0.3">
      <c r="A982" s="5">
        <v>45765</v>
      </c>
      <c r="B982" s="6" t="s">
        <v>43</v>
      </c>
      <c r="C982" s="6">
        <v>1347.42</v>
      </c>
      <c r="D982" s="6">
        <v>1371.43</v>
      </c>
      <c r="E982" s="6">
        <v>1323.42</v>
      </c>
      <c r="F982" s="6">
        <v>1350.36</v>
      </c>
      <c r="G982" s="6">
        <v>3123</v>
      </c>
      <c r="H982" s="10">
        <f>(Table7[[#This Row],[close]]-F981)/F981</f>
        <v>1.8824363781773049E-2</v>
      </c>
    </row>
    <row r="983" spans="1:8" x14ac:dyDescent="0.3">
      <c r="A983" s="5">
        <v>45768</v>
      </c>
      <c r="B983" s="6" t="s">
        <v>43</v>
      </c>
      <c r="C983" s="6">
        <v>1335.54</v>
      </c>
      <c r="D983" s="6">
        <v>1353.54</v>
      </c>
      <c r="E983" s="6">
        <v>1317.54</v>
      </c>
      <c r="F983" s="6">
        <v>1335.92</v>
      </c>
      <c r="G983" s="6">
        <v>48216</v>
      </c>
      <c r="H983" s="10">
        <f>(Table7[[#This Row],[close]]-F982)/F982</f>
        <v>-1.0693444711039892E-2</v>
      </c>
    </row>
    <row r="984" spans="1:8" x14ac:dyDescent="0.3">
      <c r="A984" s="5">
        <v>45769</v>
      </c>
      <c r="B984" s="6" t="s">
        <v>43</v>
      </c>
      <c r="C984" s="6">
        <v>1372.2</v>
      </c>
      <c r="D984" s="6">
        <v>1379.09</v>
      </c>
      <c r="E984" s="6">
        <v>1365.31</v>
      </c>
      <c r="F984" s="6">
        <v>1370.74</v>
      </c>
      <c r="G984" s="6">
        <v>14001</v>
      </c>
      <c r="H984" s="10">
        <f>(Table7[[#This Row],[close]]-F983)/F983</f>
        <v>2.6064434996107503E-2</v>
      </c>
    </row>
    <row r="985" spans="1:8" x14ac:dyDescent="0.3">
      <c r="A985" s="5">
        <v>45770</v>
      </c>
      <c r="B985" s="6" t="s">
        <v>43</v>
      </c>
      <c r="C985" s="6">
        <v>1371.67</v>
      </c>
      <c r="D985" s="6">
        <v>1383.22</v>
      </c>
      <c r="E985" s="6">
        <v>1360.12</v>
      </c>
      <c r="F985" s="6">
        <v>1366.21</v>
      </c>
      <c r="G985" s="6">
        <v>49174</v>
      </c>
      <c r="H985" s="10">
        <f>(Table7[[#This Row],[close]]-F984)/F984</f>
        <v>-3.304784277105777E-3</v>
      </c>
    </row>
    <row r="986" spans="1:8" x14ac:dyDescent="0.3">
      <c r="A986" s="5">
        <v>45771</v>
      </c>
      <c r="B986" s="6" t="s">
        <v>43</v>
      </c>
      <c r="C986" s="6">
        <v>1340.07</v>
      </c>
      <c r="D986" s="6">
        <v>1359.09</v>
      </c>
      <c r="E986" s="6">
        <v>1321.04</v>
      </c>
      <c r="F986" s="6">
        <v>1345.72</v>
      </c>
      <c r="G986" s="6">
        <v>36739</v>
      </c>
      <c r="H986" s="10">
        <f>(Table7[[#This Row],[close]]-F985)/F985</f>
        <v>-1.4997694351527225E-2</v>
      </c>
    </row>
    <row r="987" spans="1:8" x14ac:dyDescent="0.3">
      <c r="A987" s="5">
        <v>45772</v>
      </c>
      <c r="B987" s="6" t="s">
        <v>43</v>
      </c>
      <c r="C987" s="6">
        <v>1351.27</v>
      </c>
      <c r="D987" s="6">
        <v>1360.71</v>
      </c>
      <c r="E987" s="6">
        <v>1341.82</v>
      </c>
      <c r="F987" s="6">
        <v>1357.17</v>
      </c>
      <c r="G987" s="6">
        <v>30166</v>
      </c>
      <c r="H987" s="10">
        <f>(Table7[[#This Row],[close]]-F986)/F986</f>
        <v>8.5084564396754499E-3</v>
      </c>
    </row>
    <row r="988" spans="1:8" x14ac:dyDescent="0.3">
      <c r="A988" s="5">
        <v>45775</v>
      </c>
      <c r="B988" s="6" t="s">
        <v>43</v>
      </c>
      <c r="C988" s="6">
        <v>1349.15</v>
      </c>
      <c r="D988" s="6">
        <v>1371.52</v>
      </c>
      <c r="E988" s="6">
        <v>1326.79</v>
      </c>
      <c r="F988" s="6">
        <v>1351.05</v>
      </c>
      <c r="G988" s="6">
        <v>26592</v>
      </c>
      <c r="H988" s="10">
        <f>(Table7[[#This Row],[close]]-F987)/F987</f>
        <v>-4.5093834965406823E-3</v>
      </c>
    </row>
    <row r="989" spans="1:8" x14ac:dyDescent="0.3">
      <c r="A989" s="5">
        <v>45776</v>
      </c>
      <c r="B989" s="6" t="s">
        <v>43</v>
      </c>
      <c r="C989" s="6">
        <v>1391.16</v>
      </c>
      <c r="D989" s="6">
        <v>1405.45</v>
      </c>
      <c r="E989" s="6">
        <v>1376.87</v>
      </c>
      <c r="F989" s="6">
        <v>1386.31</v>
      </c>
      <c r="G989" s="6">
        <v>7782</v>
      </c>
      <c r="H989" s="10">
        <f>(Table7[[#This Row],[close]]-F988)/F988</f>
        <v>2.6098219903038372E-2</v>
      </c>
    </row>
    <row r="990" spans="1:8" x14ac:dyDescent="0.3">
      <c r="A990" s="5">
        <v>45777</v>
      </c>
      <c r="B990" s="6" t="s">
        <v>43</v>
      </c>
      <c r="C990" s="6">
        <v>1370.2</v>
      </c>
      <c r="D990" s="6">
        <v>1379.56</v>
      </c>
      <c r="E990" s="6">
        <v>1360.85</v>
      </c>
      <c r="F990" s="6">
        <v>1379.1</v>
      </c>
      <c r="G990" s="6">
        <v>9307</v>
      </c>
      <c r="H990" s="10">
        <f>(Table7[[#This Row],[close]]-F989)/F989</f>
        <v>-5.2008569511869905E-3</v>
      </c>
    </row>
    <row r="991" spans="1:8" x14ac:dyDescent="0.3">
      <c r="A991" s="5">
        <v>45778</v>
      </c>
      <c r="B991" s="6" t="s">
        <v>43</v>
      </c>
      <c r="C991" s="6">
        <v>1388.49</v>
      </c>
      <c r="D991" s="6">
        <v>1394.2</v>
      </c>
      <c r="E991" s="6">
        <v>1382.78</v>
      </c>
      <c r="F991" s="6">
        <v>1384.9</v>
      </c>
      <c r="G991" s="6">
        <v>39346</v>
      </c>
      <c r="H991" s="10">
        <f>(Table7[[#This Row],[close]]-F990)/F990</f>
        <v>4.2056413603075793E-3</v>
      </c>
    </row>
    <row r="992" spans="1:8" x14ac:dyDescent="0.3">
      <c r="A992" s="5">
        <v>45779</v>
      </c>
      <c r="B992" s="6" t="s">
        <v>43</v>
      </c>
      <c r="C992" s="6">
        <v>1349.54</v>
      </c>
      <c r="D992" s="6">
        <v>1361.22</v>
      </c>
      <c r="E992" s="6">
        <v>1337.85</v>
      </c>
      <c r="F992" s="6">
        <v>1360.57</v>
      </c>
      <c r="G992" s="6">
        <v>22164</v>
      </c>
      <c r="H992" s="10">
        <f>(Table7[[#This Row],[close]]-F991)/F991</f>
        <v>-1.7568055455267639E-2</v>
      </c>
    </row>
    <row r="993" spans="1:8" x14ac:dyDescent="0.3">
      <c r="A993" s="5">
        <v>45782</v>
      </c>
      <c r="B993" s="6" t="s">
        <v>43</v>
      </c>
      <c r="C993" s="6">
        <v>1375.46</v>
      </c>
      <c r="D993" s="6">
        <v>1383.28</v>
      </c>
      <c r="E993" s="6">
        <v>1367.63</v>
      </c>
      <c r="F993" s="6">
        <v>1374.91</v>
      </c>
      <c r="G993" s="6">
        <v>3941</v>
      </c>
      <c r="H993" s="10">
        <f>(Table7[[#This Row],[close]]-F992)/F992</f>
        <v>1.053970027267994E-2</v>
      </c>
    </row>
    <row r="994" spans="1:8" x14ac:dyDescent="0.3">
      <c r="A994" s="5">
        <v>45783</v>
      </c>
      <c r="B994" s="6" t="s">
        <v>43</v>
      </c>
      <c r="C994" s="6">
        <v>1361.04</v>
      </c>
      <c r="D994" s="6">
        <v>1385.48</v>
      </c>
      <c r="E994" s="6">
        <v>1336.6</v>
      </c>
      <c r="F994" s="6">
        <v>1361.83</v>
      </c>
      <c r="G994" s="6">
        <v>46865</v>
      </c>
      <c r="H994" s="10">
        <f>(Table7[[#This Row],[close]]-F993)/F993</f>
        <v>-9.5133499647250749E-3</v>
      </c>
    </row>
    <row r="995" spans="1:8" x14ac:dyDescent="0.3">
      <c r="A995" s="5">
        <v>45784</v>
      </c>
      <c r="B995" s="6" t="s">
        <v>43</v>
      </c>
      <c r="C995" s="6">
        <v>1383.91</v>
      </c>
      <c r="D995" s="6">
        <v>1399.58</v>
      </c>
      <c r="E995" s="6">
        <v>1368.23</v>
      </c>
      <c r="F995" s="6">
        <v>1374.11</v>
      </c>
      <c r="G995" s="6">
        <v>26359</v>
      </c>
      <c r="H995" s="10">
        <f>(Table7[[#This Row],[close]]-F994)/F994</f>
        <v>9.0172782212170188E-3</v>
      </c>
    </row>
    <row r="996" spans="1:8" x14ac:dyDescent="0.3">
      <c r="A996" s="5">
        <v>45785</v>
      </c>
      <c r="B996" s="6" t="s">
        <v>43</v>
      </c>
      <c r="C996" s="6">
        <v>1369.51</v>
      </c>
      <c r="D996" s="6">
        <v>1382.73</v>
      </c>
      <c r="E996" s="6">
        <v>1356.29</v>
      </c>
      <c r="F996" s="6">
        <v>1367.04</v>
      </c>
      <c r="G996" s="6">
        <v>9378</v>
      </c>
      <c r="H996" s="10">
        <f>(Table7[[#This Row],[close]]-F995)/F995</f>
        <v>-5.145148496117441E-3</v>
      </c>
    </row>
    <row r="997" spans="1:8" x14ac:dyDescent="0.3">
      <c r="A997" s="5">
        <v>45786</v>
      </c>
      <c r="B997" s="6" t="s">
        <v>43</v>
      </c>
      <c r="C997" s="6">
        <v>1340.17</v>
      </c>
      <c r="D997" s="6">
        <v>1348.09</v>
      </c>
      <c r="E997" s="6">
        <v>1332.25</v>
      </c>
      <c r="F997" s="6">
        <v>1332.55</v>
      </c>
      <c r="G997" s="6">
        <v>14675</v>
      </c>
      <c r="H997" s="10">
        <f>(Table7[[#This Row],[close]]-F996)/F996</f>
        <v>-2.5229693352059931E-2</v>
      </c>
    </row>
    <row r="998" spans="1:8" x14ac:dyDescent="0.3">
      <c r="A998" s="5">
        <v>45789</v>
      </c>
      <c r="B998" s="6" t="s">
        <v>43</v>
      </c>
      <c r="C998" s="6">
        <v>1335.95</v>
      </c>
      <c r="D998" s="6">
        <v>1343.45</v>
      </c>
      <c r="E998" s="6">
        <v>1328.45</v>
      </c>
      <c r="F998" s="6">
        <v>1335.07</v>
      </c>
      <c r="G998" s="6">
        <v>36113</v>
      </c>
      <c r="H998" s="10">
        <f>(Table7[[#This Row],[close]]-F997)/F997</f>
        <v>1.8911110277287772E-3</v>
      </c>
    </row>
    <row r="999" spans="1:8" x14ac:dyDescent="0.3">
      <c r="A999" s="5">
        <v>45790</v>
      </c>
      <c r="B999" s="6" t="s">
        <v>43</v>
      </c>
      <c r="C999" s="6">
        <v>1339.39</v>
      </c>
      <c r="D999" s="6">
        <v>1352.58</v>
      </c>
      <c r="E999" s="6">
        <v>1326.21</v>
      </c>
      <c r="F999" s="6">
        <v>1336.85</v>
      </c>
      <c r="G999" s="6">
        <v>6877</v>
      </c>
      <c r="H999" s="10">
        <f>(Table7[[#This Row],[close]]-F998)/F998</f>
        <v>1.3332634243897121E-3</v>
      </c>
    </row>
    <row r="1000" spans="1:8" x14ac:dyDescent="0.3">
      <c r="A1000" s="5">
        <v>45791</v>
      </c>
      <c r="B1000" s="6" t="s">
        <v>43</v>
      </c>
      <c r="C1000" s="6">
        <v>1355.73</v>
      </c>
      <c r="D1000" s="6">
        <v>1366.81</v>
      </c>
      <c r="E1000" s="6">
        <v>1344.65</v>
      </c>
      <c r="F1000" s="6">
        <v>1352.09</v>
      </c>
      <c r="G1000" s="6">
        <v>5686</v>
      </c>
      <c r="H1000" s="10">
        <f>(Table7[[#This Row],[close]]-F999)/F999</f>
        <v>1.1399932677562936E-2</v>
      </c>
    </row>
    <row r="1001" spans="1:8" x14ac:dyDescent="0.3">
      <c r="A1001" s="5">
        <v>45792</v>
      </c>
      <c r="B1001" s="6" t="s">
        <v>43</v>
      </c>
      <c r="C1001" s="6">
        <v>1370.46</v>
      </c>
      <c r="D1001" s="6">
        <v>1386.67</v>
      </c>
      <c r="E1001" s="6">
        <v>1354.24</v>
      </c>
      <c r="F1001" s="6">
        <v>1379.19</v>
      </c>
      <c r="G1001" s="6">
        <v>13205</v>
      </c>
      <c r="H1001" s="10">
        <f>(Table7[[#This Row],[close]]-F1000)/F1000</f>
        <v>2.0043044471891765E-2</v>
      </c>
    </row>
    <row r="1002" spans="1:8" x14ac:dyDescent="0.3">
      <c r="A1002" s="5">
        <v>45793</v>
      </c>
      <c r="B1002" s="6" t="s">
        <v>43</v>
      </c>
      <c r="C1002" s="6">
        <v>1414.59</v>
      </c>
      <c r="D1002" s="6">
        <v>1418.65</v>
      </c>
      <c r="E1002" s="6">
        <v>1410.52</v>
      </c>
      <c r="F1002" s="6">
        <v>1413.16</v>
      </c>
      <c r="G1002" s="6">
        <v>17524</v>
      </c>
      <c r="H1002" s="10">
        <f>(Table7[[#This Row],[close]]-F1001)/F1001</f>
        <v>2.463039900231297E-2</v>
      </c>
    </row>
    <row r="1003" spans="1:8" x14ac:dyDescent="0.3">
      <c r="A1003" s="5">
        <v>45796</v>
      </c>
      <c r="B1003" s="6" t="s">
        <v>43</v>
      </c>
      <c r="C1003" s="6">
        <v>1429.35</v>
      </c>
      <c r="D1003" s="6">
        <v>1452.75</v>
      </c>
      <c r="E1003" s="6">
        <v>1405.94</v>
      </c>
      <c r="F1003" s="6">
        <v>1428.97</v>
      </c>
      <c r="G1003" s="6">
        <v>17848</v>
      </c>
      <c r="H1003" s="10">
        <f>(Table7[[#This Row],[close]]-F1002)/F1002</f>
        <v>1.1187692830252727E-2</v>
      </c>
    </row>
    <row r="1004" spans="1:8" x14ac:dyDescent="0.3">
      <c r="A1004" s="5">
        <v>45797</v>
      </c>
      <c r="B1004" s="6" t="s">
        <v>43</v>
      </c>
      <c r="C1004" s="6">
        <v>1425.85</v>
      </c>
      <c r="D1004" s="6">
        <v>1440.82</v>
      </c>
      <c r="E1004" s="6">
        <v>1410.89</v>
      </c>
      <c r="F1004" s="6">
        <v>1434.33</v>
      </c>
      <c r="G1004" s="6">
        <v>39724</v>
      </c>
      <c r="H1004" s="10">
        <f>(Table7[[#This Row],[close]]-F1003)/F1003</f>
        <v>3.7509534839778999E-3</v>
      </c>
    </row>
    <row r="1005" spans="1:8" x14ac:dyDescent="0.3">
      <c r="A1005" s="5">
        <v>45798</v>
      </c>
      <c r="B1005" s="6" t="s">
        <v>43</v>
      </c>
      <c r="C1005" s="6">
        <v>1407.65</v>
      </c>
      <c r="D1005" s="6">
        <v>1411.64</v>
      </c>
      <c r="E1005" s="6">
        <v>1403.66</v>
      </c>
      <c r="F1005" s="6">
        <v>1409.1</v>
      </c>
      <c r="G1005" s="6">
        <v>30301</v>
      </c>
      <c r="H1005" s="10">
        <f>(Table7[[#This Row],[close]]-F1004)/F1004</f>
        <v>-1.7590094329756764E-2</v>
      </c>
    </row>
    <row r="1006" spans="1:8" x14ac:dyDescent="0.3">
      <c r="A1006" s="5">
        <v>45799</v>
      </c>
      <c r="B1006" s="6" t="s">
        <v>43</v>
      </c>
      <c r="C1006" s="6">
        <v>1405.5</v>
      </c>
      <c r="D1006" s="6">
        <v>1422.57</v>
      </c>
      <c r="E1006" s="6">
        <v>1388.43</v>
      </c>
      <c r="F1006" s="6">
        <v>1413.03</v>
      </c>
      <c r="G1006" s="6">
        <v>29310</v>
      </c>
      <c r="H1006" s="10">
        <f>(Table7[[#This Row],[close]]-F1005)/F1005</f>
        <v>2.789014264424146E-3</v>
      </c>
    </row>
    <row r="1007" spans="1:8" x14ac:dyDescent="0.3">
      <c r="A1007" s="5">
        <v>45800</v>
      </c>
      <c r="B1007" s="6" t="s">
        <v>43</v>
      </c>
      <c r="C1007" s="6">
        <v>1409.53</v>
      </c>
      <c r="D1007" s="6">
        <v>1423.19</v>
      </c>
      <c r="E1007" s="6">
        <v>1395.87</v>
      </c>
      <c r="F1007" s="6">
        <v>1417.2</v>
      </c>
      <c r="G1007" s="6">
        <v>39892</v>
      </c>
      <c r="H1007" s="10">
        <f>(Table7[[#This Row],[close]]-F1006)/F1006</f>
        <v>2.9511050720792006E-3</v>
      </c>
    </row>
    <row r="1008" spans="1:8" x14ac:dyDescent="0.3">
      <c r="A1008" s="5">
        <v>45803</v>
      </c>
      <c r="B1008" s="6" t="s">
        <v>43</v>
      </c>
      <c r="C1008" s="6">
        <v>1415.57</v>
      </c>
      <c r="D1008" s="6">
        <v>1438.62</v>
      </c>
      <c r="E1008" s="6">
        <v>1392.53</v>
      </c>
      <c r="F1008" s="6">
        <v>1414</v>
      </c>
      <c r="G1008" s="6">
        <v>24324</v>
      </c>
      <c r="H1008" s="10">
        <f>(Table7[[#This Row],[close]]-F1007)/F1007</f>
        <v>-2.2579734688117736E-3</v>
      </c>
    </row>
    <row r="1009" spans="1:8" x14ac:dyDescent="0.3">
      <c r="A1009" s="5">
        <v>45804</v>
      </c>
      <c r="B1009" s="6" t="s">
        <v>43</v>
      </c>
      <c r="C1009" s="6">
        <v>1424.8</v>
      </c>
      <c r="D1009" s="6">
        <v>1435.19</v>
      </c>
      <c r="E1009" s="6">
        <v>1414.41</v>
      </c>
      <c r="F1009" s="6">
        <v>1425.66</v>
      </c>
      <c r="G1009" s="6">
        <v>13205</v>
      </c>
      <c r="H1009" s="10">
        <f>(Table7[[#This Row],[close]]-F1008)/F1008</f>
        <v>8.2461103253183045E-3</v>
      </c>
    </row>
    <row r="1010" spans="1:8" x14ac:dyDescent="0.3">
      <c r="A1010" s="5">
        <v>45805</v>
      </c>
      <c r="B1010" s="6" t="s">
        <v>43</v>
      </c>
      <c r="C1010" s="6">
        <v>1451.16</v>
      </c>
      <c r="D1010" s="6">
        <v>1462.28</v>
      </c>
      <c r="E1010" s="6">
        <v>1440.04</v>
      </c>
      <c r="F1010" s="6">
        <v>1446.29</v>
      </c>
      <c r="G1010" s="6">
        <v>4092</v>
      </c>
      <c r="H1010" s="10">
        <f>(Table7[[#This Row],[close]]-F1009)/F1009</f>
        <v>1.4470490860373357E-2</v>
      </c>
    </row>
    <row r="1011" spans="1:8" x14ac:dyDescent="0.3">
      <c r="A1011" s="5">
        <v>45806</v>
      </c>
      <c r="B1011" s="6" t="s">
        <v>43</v>
      </c>
      <c r="C1011" s="6">
        <v>1432.45</v>
      </c>
      <c r="D1011" s="6">
        <v>1454.86</v>
      </c>
      <c r="E1011" s="6">
        <v>1410.03</v>
      </c>
      <c r="F1011" s="6">
        <v>1431.8</v>
      </c>
      <c r="G1011" s="6">
        <v>25860</v>
      </c>
      <c r="H1011" s="10">
        <f>(Table7[[#This Row],[close]]-F1010)/F1010</f>
        <v>-1.0018737597577257E-2</v>
      </c>
    </row>
    <row r="1012" spans="1:8" x14ac:dyDescent="0.3">
      <c r="A1012" s="5">
        <v>45807</v>
      </c>
      <c r="B1012" s="6" t="s">
        <v>43</v>
      </c>
      <c r="C1012" s="6">
        <v>1415.49</v>
      </c>
      <c r="D1012" s="6">
        <v>1421.4</v>
      </c>
      <c r="E1012" s="6">
        <v>1409.57</v>
      </c>
      <c r="F1012" s="6">
        <v>1417.17</v>
      </c>
      <c r="G1012" s="6">
        <v>26763</v>
      </c>
      <c r="H1012" s="10">
        <f>(Table7[[#This Row],[close]]-F1011)/F1011</f>
        <v>-1.0217907528984414E-2</v>
      </c>
    </row>
    <row r="1013" spans="1:8" x14ac:dyDescent="0.3">
      <c r="A1013" s="5">
        <v>45810</v>
      </c>
      <c r="B1013" s="6" t="s">
        <v>43</v>
      </c>
      <c r="C1013" s="6">
        <v>1419.02</v>
      </c>
      <c r="D1013" s="6">
        <v>1426.56</v>
      </c>
      <c r="E1013" s="6">
        <v>1411.47</v>
      </c>
      <c r="F1013" s="6">
        <v>1415.02</v>
      </c>
      <c r="G1013" s="6">
        <v>40876</v>
      </c>
      <c r="H1013" s="10">
        <f>(Table7[[#This Row],[close]]-F1012)/F1012</f>
        <v>-1.5171080392614089E-3</v>
      </c>
    </row>
    <row r="1014" spans="1:8" x14ac:dyDescent="0.3">
      <c r="A1014" s="5">
        <v>45811</v>
      </c>
      <c r="B1014" s="6" t="s">
        <v>43</v>
      </c>
      <c r="C1014" s="6">
        <v>1407.84</v>
      </c>
      <c r="D1014" s="6">
        <v>1427.67</v>
      </c>
      <c r="E1014" s="6">
        <v>1388</v>
      </c>
      <c r="F1014" s="6">
        <v>1404.43</v>
      </c>
      <c r="G1014" s="6">
        <v>35578</v>
      </c>
      <c r="H1014" s="10">
        <f>(Table7[[#This Row],[close]]-F1013)/F1013</f>
        <v>-7.4839931591072339E-3</v>
      </c>
    </row>
    <row r="1015" spans="1:8" x14ac:dyDescent="0.3">
      <c r="A1015" s="5">
        <v>45812</v>
      </c>
      <c r="B1015" s="6" t="s">
        <v>43</v>
      </c>
      <c r="C1015" s="6">
        <v>1382.95</v>
      </c>
      <c r="D1015" s="6">
        <v>1395.2</v>
      </c>
      <c r="E1015" s="6">
        <v>1370.69</v>
      </c>
      <c r="F1015" s="6">
        <v>1376.02</v>
      </c>
      <c r="G1015" s="6">
        <v>42789</v>
      </c>
      <c r="H1015" s="10">
        <f>(Table7[[#This Row],[close]]-F1014)/F1014</f>
        <v>-2.0228847290359848E-2</v>
      </c>
    </row>
    <row r="1016" spans="1:8" x14ac:dyDescent="0.3">
      <c r="A1016" s="5">
        <v>45813</v>
      </c>
      <c r="B1016" s="6" t="s">
        <v>43</v>
      </c>
      <c r="C1016" s="6">
        <v>1367.75</v>
      </c>
      <c r="D1016" s="6">
        <v>1385.7</v>
      </c>
      <c r="E1016" s="6">
        <v>1349.8</v>
      </c>
      <c r="F1016" s="6">
        <v>1359.17</v>
      </c>
      <c r="G1016" s="6">
        <v>1691</v>
      </c>
      <c r="H1016" s="10">
        <f>(Table7[[#This Row],[close]]-F1015)/F1015</f>
        <v>-1.2245461548523937E-2</v>
      </c>
    </row>
    <row r="1017" spans="1:8" x14ac:dyDescent="0.3">
      <c r="A1017" s="5">
        <v>45814</v>
      </c>
      <c r="B1017" s="6" t="s">
        <v>43</v>
      </c>
      <c r="C1017" s="6">
        <v>1346.56</v>
      </c>
      <c r="D1017" s="6">
        <v>1362.53</v>
      </c>
      <c r="E1017" s="6">
        <v>1330.59</v>
      </c>
      <c r="F1017" s="6">
        <v>1338.55</v>
      </c>
      <c r="G1017" s="6">
        <v>32730</v>
      </c>
      <c r="H1017" s="10">
        <f>(Table7[[#This Row],[close]]-F1016)/F1016</f>
        <v>-1.5171023492278462E-2</v>
      </c>
    </row>
    <row r="1018" spans="1:8" x14ac:dyDescent="0.3">
      <c r="A1018" s="5">
        <v>45817</v>
      </c>
      <c r="B1018" s="6" t="s">
        <v>43</v>
      </c>
      <c r="C1018" s="6">
        <v>1361.73</v>
      </c>
      <c r="D1018" s="6">
        <v>1370.59</v>
      </c>
      <c r="E1018" s="6">
        <v>1352.87</v>
      </c>
      <c r="F1018" s="6">
        <v>1359.41</v>
      </c>
      <c r="G1018" s="6">
        <v>23766</v>
      </c>
      <c r="H1018" s="10">
        <f>(Table7[[#This Row],[close]]-F1017)/F1017</f>
        <v>1.5584027492435941E-2</v>
      </c>
    </row>
    <row r="1019" spans="1:8" x14ac:dyDescent="0.3">
      <c r="A1019" s="5">
        <v>45818</v>
      </c>
      <c r="B1019" s="6" t="s">
        <v>43</v>
      </c>
      <c r="C1019" s="6">
        <v>1398.24</v>
      </c>
      <c r="D1019" s="6">
        <v>1411.18</v>
      </c>
      <c r="E1019" s="6">
        <v>1385.3</v>
      </c>
      <c r="F1019" s="6">
        <v>1389.22</v>
      </c>
      <c r="G1019" s="6">
        <v>18695</v>
      </c>
      <c r="H1019" s="10">
        <f>(Table7[[#This Row],[close]]-F1018)/F1018</f>
        <v>2.1928630803068935E-2</v>
      </c>
    </row>
    <row r="1020" spans="1:8" x14ac:dyDescent="0.3">
      <c r="A1020" s="5">
        <v>45819</v>
      </c>
      <c r="B1020" s="6" t="s">
        <v>43</v>
      </c>
      <c r="C1020" s="6">
        <v>1376.36</v>
      </c>
      <c r="D1020" s="6">
        <v>1393.1</v>
      </c>
      <c r="E1020" s="6">
        <v>1359.62</v>
      </c>
      <c r="F1020" s="6">
        <v>1370.51</v>
      </c>
      <c r="G1020" s="6">
        <v>26491</v>
      </c>
      <c r="H1020" s="10">
        <f>(Table7[[#This Row],[close]]-F1019)/F1019</f>
        <v>-1.3467989231367269E-2</v>
      </c>
    </row>
    <row r="1021" spans="1:8" x14ac:dyDescent="0.3">
      <c r="A1021" s="5">
        <v>45820</v>
      </c>
      <c r="B1021" s="6" t="s">
        <v>43</v>
      </c>
      <c r="C1021" s="6">
        <v>1381.97</v>
      </c>
      <c r="D1021" s="6">
        <v>1398.42</v>
      </c>
      <c r="E1021" s="6">
        <v>1365.52</v>
      </c>
      <c r="F1021" s="6">
        <v>1380.3</v>
      </c>
      <c r="G1021" s="6">
        <v>34045</v>
      </c>
      <c r="H1021" s="10">
        <f>(Table7[[#This Row],[close]]-F1020)/F1020</f>
        <v>7.1433262070323923E-3</v>
      </c>
    </row>
    <row r="1022" spans="1:8" x14ac:dyDescent="0.3">
      <c r="A1022" s="5">
        <v>45821</v>
      </c>
      <c r="B1022" s="6" t="s">
        <v>43</v>
      </c>
      <c r="C1022" s="6">
        <v>1401.49</v>
      </c>
      <c r="D1022" s="6">
        <v>1414.64</v>
      </c>
      <c r="E1022" s="6">
        <v>1388.35</v>
      </c>
      <c r="F1022" s="6">
        <v>1395.9</v>
      </c>
      <c r="G1022" s="6">
        <v>31497</v>
      </c>
      <c r="H1022" s="10">
        <f>(Table7[[#This Row],[close]]-F1021)/F1021</f>
        <v>1.1301890893284167E-2</v>
      </c>
    </row>
    <row r="1023" spans="1:8" x14ac:dyDescent="0.3">
      <c r="A1023" s="5">
        <v>45824</v>
      </c>
      <c r="B1023" s="6" t="s">
        <v>43</v>
      </c>
      <c r="C1023" s="6">
        <v>1364.55</v>
      </c>
      <c r="D1023" s="6">
        <v>1371.05</v>
      </c>
      <c r="E1023" s="6">
        <v>1358.05</v>
      </c>
      <c r="F1023" s="6">
        <v>1370.23</v>
      </c>
      <c r="G1023" s="6">
        <v>47686</v>
      </c>
      <c r="H1023" s="10">
        <f>(Table7[[#This Row],[close]]-F1022)/F1022</f>
        <v>-1.8389569453399292E-2</v>
      </c>
    </row>
    <row r="1024" spans="1:8" x14ac:dyDescent="0.3">
      <c r="A1024" s="5">
        <v>45825</v>
      </c>
      <c r="B1024" s="6" t="s">
        <v>43</v>
      </c>
      <c r="C1024" s="6">
        <v>1373.49</v>
      </c>
      <c r="D1024" s="6">
        <v>1400.49</v>
      </c>
      <c r="E1024" s="6">
        <v>1346.5</v>
      </c>
      <c r="F1024" s="6">
        <v>1373.34</v>
      </c>
      <c r="G1024" s="6">
        <v>44485</v>
      </c>
      <c r="H1024" s="10">
        <f>(Table7[[#This Row],[close]]-F1023)/F1023</f>
        <v>2.2696919495266486E-3</v>
      </c>
    </row>
    <row r="1025" spans="1:8" x14ac:dyDescent="0.3">
      <c r="A1025" s="5">
        <v>45826</v>
      </c>
      <c r="B1025" s="6" t="s">
        <v>43</v>
      </c>
      <c r="C1025" s="6">
        <v>1412.41</v>
      </c>
      <c r="D1025" s="6">
        <v>1428.2</v>
      </c>
      <c r="E1025" s="6">
        <v>1396.61</v>
      </c>
      <c r="F1025" s="6">
        <v>1418.22</v>
      </c>
      <c r="G1025" s="6">
        <v>11068</v>
      </c>
      <c r="H1025" s="10">
        <f>(Table7[[#This Row],[close]]-F1024)/F1024</f>
        <v>3.26794530123641E-2</v>
      </c>
    </row>
    <row r="1026" spans="1:8" x14ac:dyDescent="0.3">
      <c r="A1026" s="5">
        <v>45827</v>
      </c>
      <c r="B1026" s="6" t="s">
        <v>43</v>
      </c>
      <c r="C1026" s="6">
        <v>1438.96</v>
      </c>
      <c r="D1026" s="6">
        <v>1455.49</v>
      </c>
      <c r="E1026" s="6">
        <v>1422.43</v>
      </c>
      <c r="F1026" s="6">
        <v>1430.71</v>
      </c>
      <c r="G1026" s="6">
        <v>1287</v>
      </c>
      <c r="H1026" s="10">
        <f>(Table7[[#This Row],[close]]-F1025)/F1025</f>
        <v>8.8068141755157942E-3</v>
      </c>
    </row>
    <row r="1027" spans="1:8" x14ac:dyDescent="0.3">
      <c r="A1027" s="5">
        <v>45828</v>
      </c>
      <c r="B1027" s="6" t="s">
        <v>43</v>
      </c>
      <c r="C1027" s="6">
        <v>1429.61</v>
      </c>
      <c r="D1027" s="6">
        <v>1444.31</v>
      </c>
      <c r="E1027" s="6">
        <v>1414.9</v>
      </c>
      <c r="F1027" s="6">
        <v>1426.64</v>
      </c>
      <c r="G1027" s="6">
        <v>36131</v>
      </c>
      <c r="H1027" s="10">
        <f>(Table7[[#This Row],[close]]-F1026)/F1026</f>
        <v>-2.8447414220910852E-3</v>
      </c>
    </row>
    <row r="1028" spans="1:8" x14ac:dyDescent="0.3">
      <c r="A1028" s="5">
        <v>45831</v>
      </c>
      <c r="B1028" s="6" t="s">
        <v>43</v>
      </c>
      <c r="C1028" s="6">
        <v>1419.27</v>
      </c>
      <c r="D1028" s="6">
        <v>1435.79</v>
      </c>
      <c r="E1028" s="6">
        <v>1402.75</v>
      </c>
      <c r="F1028" s="6">
        <v>1416.94</v>
      </c>
      <c r="G1028" s="6">
        <v>41975</v>
      </c>
      <c r="H1028" s="10">
        <f>(Table7[[#This Row],[close]]-F1027)/F1027</f>
        <v>-6.7991925082712141E-3</v>
      </c>
    </row>
    <row r="1029" spans="1:8" x14ac:dyDescent="0.3">
      <c r="A1029" s="5">
        <v>45832</v>
      </c>
      <c r="B1029" s="6" t="s">
        <v>43</v>
      </c>
      <c r="C1029" s="6">
        <v>1371.49</v>
      </c>
      <c r="D1029" s="6">
        <v>1387.19</v>
      </c>
      <c r="E1029" s="6">
        <v>1355.8</v>
      </c>
      <c r="F1029" s="6">
        <v>1381.62</v>
      </c>
      <c r="G1029" s="6">
        <v>4178</v>
      </c>
      <c r="H1029" s="10">
        <f>(Table7[[#This Row],[close]]-F1028)/F1028</f>
        <v>-2.4926955269806882E-2</v>
      </c>
    </row>
    <row r="1030" spans="1:8" x14ac:dyDescent="0.3">
      <c r="A1030" s="5">
        <v>45833</v>
      </c>
      <c r="B1030" s="6" t="s">
        <v>43</v>
      </c>
      <c r="C1030" s="6">
        <v>1392.25</v>
      </c>
      <c r="D1030" s="6">
        <v>1397.92</v>
      </c>
      <c r="E1030" s="6">
        <v>1386.57</v>
      </c>
      <c r="F1030" s="6">
        <v>1390.16</v>
      </c>
      <c r="G1030" s="6">
        <v>27627</v>
      </c>
      <c r="H1030" s="10">
        <f>(Table7[[#This Row],[close]]-F1029)/F1029</f>
        <v>6.181149664886287E-3</v>
      </c>
    </row>
    <row r="1031" spans="1:8" x14ac:dyDescent="0.3">
      <c r="A1031" s="5">
        <v>45834</v>
      </c>
      <c r="B1031" s="6" t="s">
        <v>43</v>
      </c>
      <c r="C1031" s="6">
        <v>1426.17</v>
      </c>
      <c r="D1031" s="6">
        <v>1442.23</v>
      </c>
      <c r="E1031" s="6">
        <v>1410.12</v>
      </c>
      <c r="F1031" s="6">
        <v>1425.04</v>
      </c>
      <c r="G1031" s="6">
        <v>36422</v>
      </c>
      <c r="H1031" s="10">
        <f>(Table7[[#This Row],[close]]-F1030)/F1030</f>
        <v>2.5090637048972693E-2</v>
      </c>
    </row>
    <row r="1032" spans="1:8" x14ac:dyDescent="0.3">
      <c r="A1032" s="5">
        <v>45835</v>
      </c>
      <c r="B1032" s="6" t="s">
        <v>43</v>
      </c>
      <c r="C1032" s="6">
        <v>1410.54</v>
      </c>
      <c r="D1032" s="6">
        <v>1424.13</v>
      </c>
      <c r="E1032" s="6">
        <v>1396.96</v>
      </c>
      <c r="F1032" s="6">
        <v>1410.84</v>
      </c>
      <c r="G1032" s="6">
        <v>8135</v>
      </c>
      <c r="H1032" s="10">
        <f>(Table7[[#This Row],[close]]-F1031)/F1031</f>
        <v>-9.9646325717173169E-3</v>
      </c>
    </row>
    <row r="1033" spans="1:8" x14ac:dyDescent="0.3">
      <c r="A1033" s="5">
        <v>45838</v>
      </c>
      <c r="B1033" s="6" t="s">
        <v>43</v>
      </c>
      <c r="C1033" s="6">
        <v>1378.34</v>
      </c>
      <c r="D1033" s="6">
        <v>1385.28</v>
      </c>
      <c r="E1033" s="6">
        <v>1371.39</v>
      </c>
      <c r="F1033" s="6">
        <v>1377.18</v>
      </c>
      <c r="G1033" s="6">
        <v>24238</v>
      </c>
      <c r="H1033" s="10">
        <f>(Table7[[#This Row],[close]]-F1032)/F1032</f>
        <v>-2.3858127073232867E-2</v>
      </c>
    </row>
  </sheetData>
  <pageMargins left="0.75" right="0.75" top="1" bottom="1" header="0.5" footer="0.5"/>
  <ignoredErrors>
    <ignoredError sqref="H3:H1033" calculatedColumn="1"/>
  </ignoredErrors>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2A4AC-E046-4322-9C1B-8153C878BD69}">
  <dimension ref="A1:I33"/>
  <sheetViews>
    <sheetView topLeftCell="C1" zoomScale="70" zoomScaleNormal="70" workbookViewId="0">
      <selection activeCell="F3" sqref="F3"/>
    </sheetView>
  </sheetViews>
  <sheetFormatPr defaultRowHeight="14.4" x14ac:dyDescent="0.3"/>
  <cols>
    <col min="1" max="1" width="13.88671875" bestFit="1" customWidth="1"/>
    <col min="2" max="2" width="17.5546875" bestFit="1" customWidth="1"/>
    <col min="3" max="3" width="10.21875" bestFit="1" customWidth="1"/>
    <col min="6" max="6" width="15" bestFit="1" customWidth="1"/>
    <col min="7" max="7" width="16.77734375" bestFit="1" customWidth="1"/>
    <col min="8" max="8" width="7.77734375" bestFit="1" customWidth="1"/>
    <col min="9" max="9" width="11.109375" bestFit="1" customWidth="1"/>
  </cols>
  <sheetData>
    <row r="1" spans="1:9" x14ac:dyDescent="0.3">
      <c r="A1" s="7" t="s">
        <v>1168</v>
      </c>
      <c r="B1" t="s">
        <v>1170</v>
      </c>
      <c r="F1" s="7" t="s">
        <v>1174</v>
      </c>
      <c r="G1" s="7" t="s">
        <v>1173</v>
      </c>
    </row>
    <row r="2" spans="1:9" x14ac:dyDescent="0.3">
      <c r="A2" s="8" t="s">
        <v>1181</v>
      </c>
      <c r="B2" s="9">
        <v>25383.449612403099</v>
      </c>
      <c r="F2" s="7" t="s">
        <v>1168</v>
      </c>
      <c r="G2" t="s">
        <v>161</v>
      </c>
      <c r="H2" t="s">
        <v>166</v>
      </c>
      <c r="I2" t="s">
        <v>1169</v>
      </c>
    </row>
    <row r="3" spans="1:9" x14ac:dyDescent="0.3">
      <c r="A3" s="8" t="s">
        <v>1179</v>
      </c>
      <c r="B3" s="9">
        <v>24705.674418604653</v>
      </c>
      <c r="F3" s="8" t="s">
        <v>1181</v>
      </c>
      <c r="G3">
        <v>20207</v>
      </c>
      <c r="H3">
        <v>21820</v>
      </c>
      <c r="I3">
        <v>42027</v>
      </c>
    </row>
    <row r="4" spans="1:9" x14ac:dyDescent="0.3">
      <c r="A4" s="8" t="s">
        <v>34</v>
      </c>
      <c r="B4" s="9">
        <v>26012.976744186046</v>
      </c>
      <c r="F4" s="8" t="s">
        <v>1179</v>
      </c>
      <c r="G4">
        <v>16842</v>
      </c>
      <c r="H4">
        <v>12057</v>
      </c>
      <c r="I4">
        <v>28899</v>
      </c>
    </row>
    <row r="5" spans="1:9" x14ac:dyDescent="0.3">
      <c r="A5" s="8" t="s">
        <v>31</v>
      </c>
      <c r="B5" s="9">
        <v>24653.922480620156</v>
      </c>
      <c r="F5" s="8" t="s">
        <v>34</v>
      </c>
      <c r="G5">
        <v>16750</v>
      </c>
      <c r="H5">
        <v>12154</v>
      </c>
      <c r="I5">
        <v>28904</v>
      </c>
    </row>
    <row r="6" spans="1:9" x14ac:dyDescent="0.3">
      <c r="A6" s="8" t="s">
        <v>1180</v>
      </c>
      <c r="B6" s="9">
        <v>25531.798449612405</v>
      </c>
      <c r="F6" s="8" t="s">
        <v>31</v>
      </c>
      <c r="G6">
        <v>14701</v>
      </c>
      <c r="H6">
        <v>15361</v>
      </c>
      <c r="I6">
        <v>30062</v>
      </c>
    </row>
    <row r="7" spans="1:9" x14ac:dyDescent="0.3">
      <c r="A7" s="8" t="s">
        <v>1182</v>
      </c>
      <c r="B7" s="9">
        <v>24664.891472868218</v>
      </c>
      <c r="F7" s="8" t="s">
        <v>1180</v>
      </c>
      <c r="G7">
        <v>18228</v>
      </c>
      <c r="H7">
        <v>18210</v>
      </c>
      <c r="I7">
        <v>36438</v>
      </c>
    </row>
    <row r="8" spans="1:9" x14ac:dyDescent="0.3">
      <c r="A8" s="8" t="s">
        <v>1183</v>
      </c>
      <c r="B8" s="9">
        <v>27069.81395348837</v>
      </c>
      <c r="F8" s="8" t="s">
        <v>1182</v>
      </c>
      <c r="G8">
        <v>18098</v>
      </c>
      <c r="H8">
        <v>12753</v>
      </c>
      <c r="I8">
        <v>30851</v>
      </c>
    </row>
    <row r="9" spans="1:9" x14ac:dyDescent="0.3">
      <c r="A9" s="8" t="s">
        <v>28</v>
      </c>
      <c r="B9" s="9">
        <v>25295.844961240309</v>
      </c>
      <c r="F9" s="8" t="s">
        <v>1183</v>
      </c>
      <c r="G9">
        <v>15905</v>
      </c>
      <c r="H9">
        <v>18218</v>
      </c>
      <c r="I9">
        <v>34123</v>
      </c>
    </row>
    <row r="10" spans="1:9" x14ac:dyDescent="0.3">
      <c r="A10" s="8" t="s">
        <v>1169</v>
      </c>
      <c r="B10">
        <v>25414.796511627908</v>
      </c>
      <c r="F10" s="8" t="s">
        <v>28</v>
      </c>
      <c r="G10">
        <v>13554</v>
      </c>
      <c r="H10">
        <v>14861</v>
      </c>
      <c r="I10">
        <v>28415</v>
      </c>
    </row>
    <row r="11" spans="1:9" x14ac:dyDescent="0.3">
      <c r="F11" s="8" t="s">
        <v>1169</v>
      </c>
      <c r="G11">
        <v>134285</v>
      </c>
      <c r="H11">
        <v>125434</v>
      </c>
      <c r="I11">
        <v>259719</v>
      </c>
    </row>
    <row r="12" spans="1:9" x14ac:dyDescent="0.3">
      <c r="A12" s="7" t="s">
        <v>1168</v>
      </c>
      <c r="B12" t="s">
        <v>1171</v>
      </c>
      <c r="C12" t="s">
        <v>1172</v>
      </c>
    </row>
    <row r="13" spans="1:9" x14ac:dyDescent="0.3">
      <c r="A13" s="8" t="s">
        <v>34</v>
      </c>
      <c r="B13" s="9">
        <v>2324.77</v>
      </c>
      <c r="C13" s="9">
        <v>1940.66</v>
      </c>
      <c r="F13" s="7" t="s">
        <v>1168</v>
      </c>
      <c r="G13" t="s">
        <v>1176</v>
      </c>
    </row>
    <row r="14" spans="1:9" x14ac:dyDescent="0.3">
      <c r="A14" s="8" t="s">
        <v>1182</v>
      </c>
      <c r="B14" s="9">
        <v>1462.28</v>
      </c>
      <c r="C14" s="9">
        <v>940.81</v>
      </c>
      <c r="F14" s="8" t="s">
        <v>1181</v>
      </c>
      <c r="G14" s="11">
        <v>1.010887702854309E-2</v>
      </c>
    </row>
    <row r="15" spans="1:9" x14ac:dyDescent="0.3">
      <c r="A15" s="8" t="s">
        <v>31</v>
      </c>
      <c r="B15" s="9">
        <v>1359.78</v>
      </c>
      <c r="C15" s="9">
        <v>1136.01</v>
      </c>
      <c r="F15" s="8" t="s">
        <v>1179</v>
      </c>
      <c r="G15" s="11">
        <v>-4.4708493700765239E-3</v>
      </c>
    </row>
    <row r="16" spans="1:9" x14ac:dyDescent="0.3">
      <c r="A16" s="8" t="s">
        <v>28</v>
      </c>
      <c r="B16" s="9">
        <v>857.85</v>
      </c>
      <c r="C16" s="9">
        <v>722.55</v>
      </c>
      <c r="F16" s="8" t="s">
        <v>34</v>
      </c>
      <c r="G16" s="11">
        <v>5.899977100598152E-3</v>
      </c>
    </row>
    <row r="17" spans="1:7" x14ac:dyDescent="0.3">
      <c r="A17" s="8" t="s">
        <v>1183</v>
      </c>
      <c r="B17" s="9">
        <v>714.67</v>
      </c>
      <c r="C17" s="9">
        <v>585.61</v>
      </c>
      <c r="F17" s="8" t="s">
        <v>31</v>
      </c>
      <c r="G17" s="11">
        <v>4.0043995319779249E-3</v>
      </c>
    </row>
    <row r="18" spans="1:7" x14ac:dyDescent="0.3">
      <c r="A18" s="8" t="s">
        <v>1181</v>
      </c>
      <c r="B18" s="9">
        <v>635.26</v>
      </c>
      <c r="C18" s="9">
        <v>443.03</v>
      </c>
      <c r="F18" s="8" t="s">
        <v>1180</v>
      </c>
      <c r="G18" s="11">
        <v>-7.749884465439483E-4</v>
      </c>
    </row>
    <row r="19" spans="1:7" x14ac:dyDescent="0.3">
      <c r="A19" s="8" t="s">
        <v>1179</v>
      </c>
      <c r="B19" s="9">
        <v>268.10000000000002</v>
      </c>
      <c r="C19" s="9">
        <v>223.76</v>
      </c>
      <c r="F19" s="8" t="s">
        <v>1182</v>
      </c>
      <c r="G19" s="11">
        <v>8.030244475279516E-3</v>
      </c>
    </row>
    <row r="20" spans="1:7" x14ac:dyDescent="0.3">
      <c r="A20" s="8" t="s">
        <v>1180</v>
      </c>
      <c r="B20" s="9">
        <v>254.93</v>
      </c>
      <c r="C20" s="9">
        <v>209.62</v>
      </c>
      <c r="F20" s="8" t="s">
        <v>1183</v>
      </c>
      <c r="G20" s="11">
        <v>-4.6570733333162646E-3</v>
      </c>
    </row>
    <row r="21" spans="1:7" x14ac:dyDescent="0.3">
      <c r="A21" s="8" t="s">
        <v>1169</v>
      </c>
      <c r="B21">
        <v>2324.77</v>
      </c>
      <c r="C21">
        <v>209.62</v>
      </c>
      <c r="F21" s="8" t="s">
        <v>28</v>
      </c>
      <c r="G21" s="11">
        <v>7.3026906755430861E-5</v>
      </c>
    </row>
    <row r="22" spans="1:7" x14ac:dyDescent="0.3">
      <c r="F22" s="8" t="s">
        <v>1169</v>
      </c>
      <c r="G22" s="12">
        <v>2.2788391516181247E-3</v>
      </c>
    </row>
    <row r="24" spans="1:7" x14ac:dyDescent="0.3">
      <c r="A24" s="7" t="s">
        <v>1168</v>
      </c>
      <c r="B24" t="s">
        <v>1185</v>
      </c>
      <c r="F24" s="7" t="s">
        <v>1168</v>
      </c>
      <c r="G24" t="s">
        <v>1177</v>
      </c>
    </row>
    <row r="25" spans="1:7" x14ac:dyDescent="0.3">
      <c r="A25" s="8" t="s">
        <v>1181</v>
      </c>
      <c r="B25" s="9">
        <v>324797.05931506853</v>
      </c>
      <c r="F25" s="8" t="s">
        <v>1181</v>
      </c>
      <c r="G25">
        <v>11855.1</v>
      </c>
    </row>
    <row r="26" spans="1:7" x14ac:dyDescent="0.3">
      <c r="A26" s="8" t="s">
        <v>1179</v>
      </c>
      <c r="B26" s="9">
        <v>122860.82456140348</v>
      </c>
      <c r="F26" s="8" t="s">
        <v>1179</v>
      </c>
      <c r="G26">
        <v>3501.51</v>
      </c>
    </row>
    <row r="27" spans="1:7" x14ac:dyDescent="0.3">
      <c r="A27" s="8" t="s">
        <v>34</v>
      </c>
      <c r="B27" s="9">
        <v>1055458.6576271188</v>
      </c>
      <c r="F27" s="8" t="s">
        <v>34</v>
      </c>
      <c r="G27">
        <v>31136.05</v>
      </c>
    </row>
    <row r="28" spans="1:7" x14ac:dyDescent="0.3">
      <c r="A28" s="8" t="s">
        <v>31</v>
      </c>
      <c r="B28" s="9">
        <v>633085.01133333321</v>
      </c>
      <c r="F28" s="8" t="s">
        <v>31</v>
      </c>
      <c r="G28">
        <v>18992.560000000001</v>
      </c>
    </row>
    <row r="29" spans="1:7" x14ac:dyDescent="0.3">
      <c r="A29" s="8" t="s">
        <v>1180</v>
      </c>
      <c r="B29" s="9">
        <v>132730.9386153846</v>
      </c>
      <c r="F29" s="8" t="s">
        <v>1180</v>
      </c>
      <c r="G29">
        <v>4313.76</v>
      </c>
    </row>
    <row r="30" spans="1:7" x14ac:dyDescent="0.3">
      <c r="A30" s="8" t="s">
        <v>1182</v>
      </c>
      <c r="B30" s="9">
        <v>585434.31936507917</v>
      </c>
      <c r="F30" s="8" t="s">
        <v>1182</v>
      </c>
      <c r="G30">
        <v>18441.2</v>
      </c>
    </row>
    <row r="31" spans="1:7" x14ac:dyDescent="0.3">
      <c r="A31" s="8" t="s">
        <v>1183</v>
      </c>
      <c r="B31" s="9">
        <v>359184.66475409822</v>
      </c>
      <c r="F31" s="8" t="s">
        <v>1183</v>
      </c>
      <c r="G31">
        <v>10955.13</v>
      </c>
    </row>
    <row r="32" spans="1:7" x14ac:dyDescent="0.3">
      <c r="A32" s="8" t="s">
        <v>28</v>
      </c>
      <c r="B32" s="9">
        <v>358025.18693548394</v>
      </c>
      <c r="F32" s="8" t="s">
        <v>28</v>
      </c>
      <c r="G32">
        <v>11098.8</v>
      </c>
    </row>
    <row r="33" spans="1:7" x14ac:dyDescent="0.3">
      <c r="A33" s="8" t="s">
        <v>1169</v>
      </c>
      <c r="B33">
        <v>441176.22616000002</v>
      </c>
      <c r="F33" s="8" t="s">
        <v>1169</v>
      </c>
      <c r="G33">
        <v>110294.11</v>
      </c>
    </row>
  </sheetData>
  <pageMargins left="0.7" right="0.7" top="0.75" bottom="0.75" header="0.3" footer="0.3"/>
  <drawing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ACF05-7682-4CA5-8248-BFC7916FB9CE}">
  <dimension ref="A1:B10"/>
  <sheetViews>
    <sheetView workbookViewId="0">
      <selection activeCell="B11" sqref="B11"/>
    </sheetView>
  </sheetViews>
  <sheetFormatPr defaultRowHeight="14.4" x14ac:dyDescent="0.3"/>
  <cols>
    <col min="1" max="1" width="12.5546875" bestFit="1" customWidth="1"/>
    <col min="2" max="2" width="16.88671875" bestFit="1" customWidth="1"/>
    <col min="3" max="3" width="21.88671875" bestFit="1" customWidth="1"/>
  </cols>
  <sheetData>
    <row r="1" spans="1:2" x14ac:dyDescent="0.3">
      <c r="A1" s="7" t="s">
        <v>1168</v>
      </c>
      <c r="B1" t="s">
        <v>1187</v>
      </c>
    </row>
    <row r="2" spans="1:2" x14ac:dyDescent="0.3">
      <c r="A2" s="8" t="s">
        <v>1181</v>
      </c>
      <c r="B2">
        <v>628.16999999999996</v>
      </c>
    </row>
    <row r="3" spans="1:2" x14ac:dyDescent="0.3">
      <c r="A3" s="8" t="s">
        <v>1179</v>
      </c>
      <c r="B3">
        <v>265.27</v>
      </c>
    </row>
    <row r="4" spans="1:2" x14ac:dyDescent="0.3">
      <c r="A4" s="8" t="s">
        <v>34</v>
      </c>
      <c r="B4">
        <v>2306.96</v>
      </c>
    </row>
    <row r="5" spans="1:2" x14ac:dyDescent="0.3">
      <c r="A5" s="8" t="s">
        <v>31</v>
      </c>
      <c r="B5">
        <v>1336.36</v>
      </c>
    </row>
    <row r="6" spans="1:2" x14ac:dyDescent="0.3">
      <c r="A6" s="8" t="s">
        <v>1180</v>
      </c>
      <c r="B6">
        <v>251.68</v>
      </c>
    </row>
    <row r="7" spans="1:2" x14ac:dyDescent="0.3">
      <c r="A7" s="8" t="s">
        <v>1182</v>
      </c>
      <c r="B7">
        <v>1451.16</v>
      </c>
    </row>
    <row r="8" spans="1:2" x14ac:dyDescent="0.3">
      <c r="A8" s="8" t="s">
        <v>1183</v>
      </c>
      <c r="B8">
        <v>703.99</v>
      </c>
    </row>
    <row r="9" spans="1:2" x14ac:dyDescent="0.3">
      <c r="A9" s="8" t="s">
        <v>28</v>
      </c>
      <c r="B9">
        <v>848.04</v>
      </c>
    </row>
    <row r="10" spans="1:2" x14ac:dyDescent="0.3">
      <c r="A10" s="8" t="s">
        <v>1169</v>
      </c>
      <c r="B10">
        <v>2306.96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
  <sheetViews>
    <sheetView workbookViewId="0">
      <selection activeCell="D17" sqref="D17"/>
    </sheetView>
  </sheetViews>
  <sheetFormatPr defaultRowHeight="14.4" x14ac:dyDescent="0.3"/>
  <cols>
    <col min="1" max="1" width="18.33203125" bestFit="1" customWidth="1"/>
    <col min="2" max="2" width="13.33203125" customWidth="1"/>
    <col min="3" max="3" width="19.5546875" customWidth="1"/>
  </cols>
  <sheetData>
    <row r="1" spans="1:3" x14ac:dyDescent="0.3">
      <c r="A1" s="2" t="s">
        <v>145</v>
      </c>
      <c r="B1" s="2" t="s">
        <v>24</v>
      </c>
      <c r="C1" s="2" t="s">
        <v>151</v>
      </c>
    </row>
    <row r="2" spans="1:3" x14ac:dyDescent="0.3">
      <c r="A2" s="1">
        <v>45838</v>
      </c>
      <c r="B2" t="s">
        <v>27</v>
      </c>
      <c r="C2">
        <v>17.05</v>
      </c>
    </row>
    <row r="3" spans="1:3" x14ac:dyDescent="0.3">
      <c r="A3" s="1">
        <v>45838</v>
      </c>
      <c r="B3" t="s">
        <v>29</v>
      </c>
      <c r="C3">
        <v>17.600000000000001</v>
      </c>
    </row>
    <row r="4" spans="1:3" x14ac:dyDescent="0.3">
      <c r="A4" s="1">
        <v>45747</v>
      </c>
      <c r="B4" t="s">
        <v>32</v>
      </c>
      <c r="C4">
        <v>12.5</v>
      </c>
    </row>
    <row r="5" spans="1:3" x14ac:dyDescent="0.3">
      <c r="A5" s="1">
        <v>45747</v>
      </c>
      <c r="B5" t="s">
        <v>39</v>
      </c>
      <c r="C5">
        <v>4.37</v>
      </c>
    </row>
    <row r="6" spans="1:3" x14ac:dyDescent="0.3">
      <c r="A6" s="1">
        <v>45838</v>
      </c>
      <c r="B6" t="s">
        <v>39</v>
      </c>
      <c r="C6">
        <v>22.35</v>
      </c>
    </row>
    <row r="7" spans="1:3" x14ac:dyDescent="0.3">
      <c r="A7" s="1">
        <v>45747</v>
      </c>
      <c r="B7" t="s">
        <v>41</v>
      </c>
      <c r="C7">
        <v>20.39</v>
      </c>
    </row>
    <row r="8" spans="1:3" x14ac:dyDescent="0.3">
      <c r="A8" s="1">
        <v>45838</v>
      </c>
      <c r="B8" t="s">
        <v>41</v>
      </c>
      <c r="C8">
        <v>13.49</v>
      </c>
    </row>
    <row r="9" spans="1:3" x14ac:dyDescent="0.3">
      <c r="A9" s="1">
        <v>45838</v>
      </c>
      <c r="B9" t="s">
        <v>43</v>
      </c>
      <c r="C9">
        <v>12.25</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6"/>
  <sheetViews>
    <sheetView workbookViewId="0">
      <selection sqref="A1:C6"/>
    </sheetView>
  </sheetViews>
  <sheetFormatPr defaultRowHeight="14.4" x14ac:dyDescent="0.3"/>
  <cols>
    <col min="1" max="1" width="13.33203125" customWidth="1"/>
    <col min="2" max="2" width="18.33203125" bestFit="1" customWidth="1"/>
    <col min="3" max="3" width="11.21875" customWidth="1"/>
  </cols>
  <sheetData>
    <row r="1" spans="1:3" x14ac:dyDescent="0.3">
      <c r="A1" s="3" t="s">
        <v>24</v>
      </c>
      <c r="B1" s="3" t="s">
        <v>145</v>
      </c>
      <c r="C1" s="3" t="s">
        <v>152</v>
      </c>
    </row>
    <row r="2" spans="1:3" x14ac:dyDescent="0.3">
      <c r="A2" t="s">
        <v>35</v>
      </c>
      <c r="B2" s="1">
        <v>45798</v>
      </c>
      <c r="C2">
        <v>1.5</v>
      </c>
    </row>
    <row r="3" spans="1:3" x14ac:dyDescent="0.3">
      <c r="A3" t="s">
        <v>43</v>
      </c>
      <c r="B3" s="1">
        <v>45793</v>
      </c>
      <c r="C3">
        <v>2</v>
      </c>
    </row>
    <row r="4" spans="1:3" x14ac:dyDescent="0.3">
      <c r="A4" t="s">
        <v>35</v>
      </c>
      <c r="B4" s="1">
        <v>45821</v>
      </c>
      <c r="C4">
        <v>2</v>
      </c>
    </row>
    <row r="5" spans="1:3" x14ac:dyDescent="0.3">
      <c r="A5" t="s">
        <v>27</v>
      </c>
      <c r="B5" s="1">
        <v>45797</v>
      </c>
      <c r="C5">
        <v>1.5</v>
      </c>
    </row>
    <row r="6" spans="1:3" x14ac:dyDescent="0.3">
      <c r="A6" t="s">
        <v>43</v>
      </c>
      <c r="B6" s="1">
        <v>45782</v>
      </c>
      <c r="C6">
        <v>2</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501"/>
  <sheetViews>
    <sheetView topLeftCell="A475" workbookViewId="0">
      <selection activeCell="N9" sqref="N9"/>
    </sheetView>
  </sheetViews>
  <sheetFormatPr defaultRowHeight="14.4" x14ac:dyDescent="0.3"/>
  <cols>
    <col min="1" max="1" width="13.88671875" customWidth="1"/>
    <col min="2" max="2" width="23.44140625" customWidth="1"/>
    <col min="3" max="3" width="17.109375" customWidth="1"/>
    <col min="4" max="4" width="9.6640625" customWidth="1"/>
    <col min="5" max="5" width="13.33203125" customWidth="1"/>
    <col min="6" max="6" width="10" customWidth="1"/>
    <col min="7" max="7" width="12.21875" customWidth="1"/>
    <col min="8" max="8" width="11.6640625" customWidth="1"/>
    <col min="9" max="9" width="16.5546875" customWidth="1"/>
    <col min="10" max="10" width="12.77734375" customWidth="1"/>
    <col min="11" max="11" width="18.33203125" bestFit="1" customWidth="1"/>
  </cols>
  <sheetData>
    <row r="1" spans="1:11" x14ac:dyDescent="0.3">
      <c r="A1" s="2" t="s">
        <v>153</v>
      </c>
      <c r="B1" s="2" t="s">
        <v>154</v>
      </c>
      <c r="C1" s="2" t="s">
        <v>24</v>
      </c>
      <c r="D1" s="2" t="s">
        <v>155</v>
      </c>
      <c r="E1" s="2" t="s">
        <v>156</v>
      </c>
      <c r="F1" s="2" t="s">
        <v>157</v>
      </c>
      <c r="G1" s="2" t="s">
        <v>158</v>
      </c>
      <c r="H1" s="2" t="s">
        <v>159</v>
      </c>
      <c r="I1" s="2" t="s">
        <v>45</v>
      </c>
      <c r="J1" s="2" t="s">
        <v>112</v>
      </c>
      <c r="K1" s="2" t="s">
        <v>145</v>
      </c>
    </row>
    <row r="2" spans="1:11" x14ac:dyDescent="0.3">
      <c r="A2" t="s">
        <v>160</v>
      </c>
      <c r="B2" s="1">
        <v>45713</v>
      </c>
      <c r="C2" t="s">
        <v>29</v>
      </c>
      <c r="D2" t="s">
        <v>161</v>
      </c>
      <c r="E2">
        <v>827</v>
      </c>
      <c r="F2" t="s">
        <v>162</v>
      </c>
      <c r="G2" t="s">
        <v>163</v>
      </c>
      <c r="I2" t="s">
        <v>57</v>
      </c>
      <c r="J2" t="s">
        <v>130</v>
      </c>
      <c r="K2" s="1">
        <v>45716</v>
      </c>
    </row>
    <row r="3" spans="1:11" x14ac:dyDescent="0.3">
      <c r="A3" t="s">
        <v>164</v>
      </c>
      <c r="B3" s="1">
        <v>45726</v>
      </c>
      <c r="C3" t="s">
        <v>39</v>
      </c>
      <c r="D3" t="s">
        <v>161</v>
      </c>
      <c r="E3">
        <v>665</v>
      </c>
      <c r="F3" t="s">
        <v>162</v>
      </c>
      <c r="G3" t="s">
        <v>163</v>
      </c>
      <c r="I3" t="s">
        <v>64</v>
      </c>
      <c r="J3" t="s">
        <v>130</v>
      </c>
      <c r="K3" s="1">
        <v>45791</v>
      </c>
    </row>
    <row r="4" spans="1:11" x14ac:dyDescent="0.3">
      <c r="A4" t="s">
        <v>165</v>
      </c>
      <c r="B4" s="1">
        <v>45832</v>
      </c>
      <c r="C4" t="s">
        <v>41</v>
      </c>
      <c r="D4" t="s">
        <v>166</v>
      </c>
      <c r="E4">
        <v>787</v>
      </c>
      <c r="F4" t="s">
        <v>162</v>
      </c>
      <c r="G4" t="s">
        <v>163</v>
      </c>
      <c r="I4" t="s">
        <v>90</v>
      </c>
      <c r="J4" t="s">
        <v>130</v>
      </c>
      <c r="K4" s="1">
        <v>45800</v>
      </c>
    </row>
    <row r="5" spans="1:11" x14ac:dyDescent="0.3">
      <c r="A5" t="s">
        <v>167</v>
      </c>
      <c r="B5" s="1">
        <v>45687</v>
      </c>
      <c r="C5" t="s">
        <v>29</v>
      </c>
      <c r="D5" t="s">
        <v>161</v>
      </c>
      <c r="E5">
        <v>194</v>
      </c>
      <c r="F5" t="s">
        <v>162</v>
      </c>
      <c r="G5" t="s">
        <v>163</v>
      </c>
      <c r="I5" t="s">
        <v>62</v>
      </c>
      <c r="J5" t="s">
        <v>139</v>
      </c>
      <c r="K5" s="1">
        <v>45805</v>
      </c>
    </row>
    <row r="6" spans="1:11" x14ac:dyDescent="0.3">
      <c r="A6" t="s">
        <v>168</v>
      </c>
      <c r="B6" s="1">
        <v>45782</v>
      </c>
      <c r="C6" t="s">
        <v>32</v>
      </c>
      <c r="D6" t="s">
        <v>161</v>
      </c>
      <c r="E6">
        <v>331</v>
      </c>
      <c r="F6" t="s">
        <v>162</v>
      </c>
      <c r="G6" t="s">
        <v>163</v>
      </c>
      <c r="I6" t="s">
        <v>88</v>
      </c>
      <c r="J6" t="s">
        <v>136</v>
      </c>
      <c r="K6" s="1">
        <v>45723</v>
      </c>
    </row>
    <row r="7" spans="1:11" x14ac:dyDescent="0.3">
      <c r="A7" t="s">
        <v>169</v>
      </c>
      <c r="B7" s="1">
        <v>45749</v>
      </c>
      <c r="C7" t="s">
        <v>27</v>
      </c>
      <c r="D7" t="s">
        <v>161</v>
      </c>
      <c r="E7">
        <v>330</v>
      </c>
      <c r="F7" t="s">
        <v>162</v>
      </c>
      <c r="G7" t="s">
        <v>163</v>
      </c>
      <c r="I7" t="s">
        <v>74</v>
      </c>
      <c r="J7" t="s">
        <v>130</v>
      </c>
      <c r="K7" s="1">
        <v>45713</v>
      </c>
    </row>
    <row r="8" spans="1:11" x14ac:dyDescent="0.3">
      <c r="A8" t="s">
        <v>170</v>
      </c>
      <c r="B8" s="1">
        <v>45765</v>
      </c>
      <c r="C8" t="s">
        <v>39</v>
      </c>
      <c r="D8" t="s">
        <v>161</v>
      </c>
      <c r="E8">
        <v>203</v>
      </c>
      <c r="F8" t="s">
        <v>162</v>
      </c>
      <c r="G8" t="s">
        <v>163</v>
      </c>
      <c r="I8" t="s">
        <v>51</v>
      </c>
      <c r="J8" t="s">
        <v>118</v>
      </c>
      <c r="K8" s="1">
        <v>45819</v>
      </c>
    </row>
    <row r="9" spans="1:11" x14ac:dyDescent="0.3">
      <c r="A9" t="s">
        <v>171</v>
      </c>
      <c r="B9" s="1">
        <v>45835</v>
      </c>
      <c r="C9" t="s">
        <v>43</v>
      </c>
      <c r="D9" t="s">
        <v>161</v>
      </c>
      <c r="E9">
        <v>323</v>
      </c>
      <c r="F9" t="s">
        <v>162</v>
      </c>
      <c r="G9" t="s">
        <v>163</v>
      </c>
      <c r="I9" t="s">
        <v>62</v>
      </c>
      <c r="J9" t="s">
        <v>139</v>
      </c>
      <c r="K9" s="1">
        <v>45778</v>
      </c>
    </row>
    <row r="10" spans="1:11" x14ac:dyDescent="0.3">
      <c r="A10" t="s">
        <v>172</v>
      </c>
      <c r="B10" s="1">
        <v>45834</v>
      </c>
      <c r="C10" t="s">
        <v>37</v>
      </c>
      <c r="D10" t="s">
        <v>166</v>
      </c>
      <c r="E10">
        <v>857</v>
      </c>
      <c r="F10" t="s">
        <v>162</v>
      </c>
      <c r="G10" t="s">
        <v>163</v>
      </c>
      <c r="I10" t="s">
        <v>82</v>
      </c>
      <c r="J10" t="s">
        <v>118</v>
      </c>
      <c r="K10" s="1">
        <v>45803</v>
      </c>
    </row>
    <row r="11" spans="1:11" x14ac:dyDescent="0.3">
      <c r="A11" t="s">
        <v>173</v>
      </c>
      <c r="B11" s="1">
        <v>45803</v>
      </c>
      <c r="C11" t="s">
        <v>43</v>
      </c>
      <c r="D11" t="s">
        <v>161</v>
      </c>
      <c r="E11">
        <v>764</v>
      </c>
      <c r="F11" t="s">
        <v>162</v>
      </c>
      <c r="G11" t="s">
        <v>163</v>
      </c>
      <c r="I11" t="s">
        <v>110</v>
      </c>
      <c r="J11" t="s">
        <v>133</v>
      </c>
      <c r="K11" s="1">
        <v>45758</v>
      </c>
    </row>
    <row r="12" spans="1:11" x14ac:dyDescent="0.3">
      <c r="A12" t="s">
        <v>174</v>
      </c>
      <c r="B12" s="1">
        <v>45778</v>
      </c>
      <c r="C12" t="s">
        <v>43</v>
      </c>
      <c r="D12" t="s">
        <v>161</v>
      </c>
      <c r="E12">
        <v>151</v>
      </c>
      <c r="F12" t="s">
        <v>162</v>
      </c>
      <c r="G12" t="s">
        <v>163</v>
      </c>
      <c r="I12" t="s">
        <v>82</v>
      </c>
      <c r="J12" t="s">
        <v>139</v>
      </c>
      <c r="K12" s="1">
        <v>45714</v>
      </c>
    </row>
    <row r="13" spans="1:11" x14ac:dyDescent="0.3">
      <c r="A13" t="s">
        <v>175</v>
      </c>
      <c r="B13" s="1">
        <v>45768</v>
      </c>
      <c r="C13" t="s">
        <v>27</v>
      </c>
      <c r="D13" t="s">
        <v>161</v>
      </c>
      <c r="E13">
        <v>52</v>
      </c>
      <c r="F13" t="s">
        <v>162</v>
      </c>
      <c r="G13" t="s">
        <v>163</v>
      </c>
      <c r="I13" t="s">
        <v>80</v>
      </c>
      <c r="J13" t="s">
        <v>118</v>
      </c>
      <c r="K13" s="1">
        <v>45814</v>
      </c>
    </row>
    <row r="14" spans="1:11" x14ac:dyDescent="0.3">
      <c r="A14" t="s">
        <v>176</v>
      </c>
      <c r="B14" s="1">
        <v>45701</v>
      </c>
      <c r="C14" t="s">
        <v>27</v>
      </c>
      <c r="D14" t="s">
        <v>161</v>
      </c>
      <c r="E14">
        <v>945</v>
      </c>
      <c r="F14" t="s">
        <v>162</v>
      </c>
      <c r="G14" t="s">
        <v>163</v>
      </c>
      <c r="I14" t="s">
        <v>108</v>
      </c>
      <c r="J14" t="s">
        <v>121</v>
      </c>
      <c r="K14" s="1">
        <v>45806</v>
      </c>
    </row>
    <row r="15" spans="1:11" x14ac:dyDescent="0.3">
      <c r="A15" t="s">
        <v>177</v>
      </c>
      <c r="B15" s="1">
        <v>45782</v>
      </c>
      <c r="C15" t="s">
        <v>35</v>
      </c>
      <c r="D15" t="s">
        <v>161</v>
      </c>
      <c r="E15">
        <v>81</v>
      </c>
      <c r="F15" t="s">
        <v>162</v>
      </c>
      <c r="G15" t="s">
        <v>163</v>
      </c>
      <c r="I15" t="s">
        <v>108</v>
      </c>
      <c r="J15" t="s">
        <v>115</v>
      </c>
      <c r="K15" s="1">
        <v>45764</v>
      </c>
    </row>
    <row r="16" spans="1:11" x14ac:dyDescent="0.3">
      <c r="A16" t="s">
        <v>178</v>
      </c>
      <c r="B16" s="1">
        <v>45733</v>
      </c>
      <c r="C16" t="s">
        <v>39</v>
      </c>
      <c r="D16" t="s">
        <v>161</v>
      </c>
      <c r="E16">
        <v>353</v>
      </c>
      <c r="F16" t="s">
        <v>162</v>
      </c>
      <c r="G16" t="s">
        <v>163</v>
      </c>
      <c r="I16" t="s">
        <v>72</v>
      </c>
      <c r="J16" t="s">
        <v>139</v>
      </c>
      <c r="K16" s="1">
        <v>45700</v>
      </c>
    </row>
    <row r="17" spans="1:11" x14ac:dyDescent="0.3">
      <c r="A17" t="s">
        <v>179</v>
      </c>
      <c r="B17" s="1">
        <v>45812</v>
      </c>
      <c r="C17" t="s">
        <v>29</v>
      </c>
      <c r="D17" t="s">
        <v>161</v>
      </c>
      <c r="E17">
        <v>138</v>
      </c>
      <c r="F17" t="s">
        <v>162</v>
      </c>
      <c r="G17" t="s">
        <v>163</v>
      </c>
      <c r="I17" t="s">
        <v>92</v>
      </c>
      <c r="J17" t="s">
        <v>118</v>
      </c>
      <c r="K17" s="1">
        <v>45709</v>
      </c>
    </row>
    <row r="18" spans="1:11" x14ac:dyDescent="0.3">
      <c r="A18" t="s">
        <v>180</v>
      </c>
      <c r="B18" s="1">
        <v>45807</v>
      </c>
      <c r="C18" t="s">
        <v>27</v>
      </c>
      <c r="D18" t="s">
        <v>166</v>
      </c>
      <c r="E18">
        <v>213</v>
      </c>
      <c r="F18" t="s">
        <v>162</v>
      </c>
      <c r="G18" t="s">
        <v>163</v>
      </c>
      <c r="I18" t="s">
        <v>90</v>
      </c>
      <c r="J18" t="s">
        <v>133</v>
      </c>
      <c r="K18" s="1">
        <v>45761</v>
      </c>
    </row>
    <row r="19" spans="1:11" x14ac:dyDescent="0.3">
      <c r="A19" t="s">
        <v>181</v>
      </c>
      <c r="B19" s="1">
        <v>45777</v>
      </c>
      <c r="C19" t="s">
        <v>37</v>
      </c>
      <c r="D19" t="s">
        <v>161</v>
      </c>
      <c r="E19">
        <v>485</v>
      </c>
      <c r="F19" t="s">
        <v>162</v>
      </c>
      <c r="G19" t="s">
        <v>163</v>
      </c>
      <c r="I19" t="s">
        <v>78</v>
      </c>
      <c r="J19" t="s">
        <v>121</v>
      </c>
      <c r="K19" s="1">
        <v>45735</v>
      </c>
    </row>
    <row r="20" spans="1:11" x14ac:dyDescent="0.3">
      <c r="A20" t="s">
        <v>182</v>
      </c>
      <c r="B20" s="1">
        <v>45715</v>
      </c>
      <c r="C20" t="s">
        <v>39</v>
      </c>
      <c r="D20" t="s">
        <v>166</v>
      </c>
      <c r="E20">
        <v>867</v>
      </c>
      <c r="F20" t="s">
        <v>162</v>
      </c>
      <c r="G20" t="s">
        <v>163</v>
      </c>
      <c r="I20" t="s">
        <v>86</v>
      </c>
      <c r="J20" t="s">
        <v>139</v>
      </c>
      <c r="K20" s="1">
        <v>45786</v>
      </c>
    </row>
    <row r="21" spans="1:11" x14ac:dyDescent="0.3">
      <c r="A21" t="s">
        <v>183</v>
      </c>
      <c r="B21" s="1">
        <v>45712</v>
      </c>
      <c r="C21" t="s">
        <v>37</v>
      </c>
      <c r="D21" t="s">
        <v>166</v>
      </c>
      <c r="E21">
        <v>444</v>
      </c>
      <c r="F21" t="s">
        <v>162</v>
      </c>
      <c r="G21" t="s">
        <v>163</v>
      </c>
      <c r="I21" t="s">
        <v>70</v>
      </c>
      <c r="J21" t="s">
        <v>118</v>
      </c>
      <c r="K21" s="1">
        <v>45741</v>
      </c>
    </row>
    <row r="22" spans="1:11" x14ac:dyDescent="0.3">
      <c r="A22" t="s">
        <v>184</v>
      </c>
      <c r="B22" s="1">
        <v>45672</v>
      </c>
      <c r="C22" t="s">
        <v>41</v>
      </c>
      <c r="D22" t="s">
        <v>161</v>
      </c>
      <c r="E22">
        <v>815</v>
      </c>
      <c r="F22" t="s">
        <v>162</v>
      </c>
      <c r="G22" t="s">
        <v>163</v>
      </c>
      <c r="I22" t="s">
        <v>64</v>
      </c>
      <c r="J22" t="s">
        <v>124</v>
      </c>
      <c r="K22" s="1">
        <v>45835</v>
      </c>
    </row>
    <row r="23" spans="1:11" x14ac:dyDescent="0.3">
      <c r="A23" t="s">
        <v>185</v>
      </c>
      <c r="B23" s="1">
        <v>45757</v>
      </c>
      <c r="C23" t="s">
        <v>39</v>
      </c>
      <c r="D23" t="s">
        <v>161</v>
      </c>
      <c r="E23">
        <v>452</v>
      </c>
      <c r="F23" t="s">
        <v>162</v>
      </c>
      <c r="G23" t="s">
        <v>163</v>
      </c>
      <c r="I23" t="s">
        <v>82</v>
      </c>
      <c r="J23" t="s">
        <v>133</v>
      </c>
      <c r="K23" s="1">
        <v>45785</v>
      </c>
    </row>
    <row r="24" spans="1:11" x14ac:dyDescent="0.3">
      <c r="A24" t="s">
        <v>186</v>
      </c>
      <c r="B24" s="1">
        <v>45799</v>
      </c>
      <c r="C24" t="s">
        <v>43</v>
      </c>
      <c r="D24" t="s">
        <v>166</v>
      </c>
      <c r="E24">
        <v>887</v>
      </c>
      <c r="F24" t="s">
        <v>162</v>
      </c>
      <c r="G24" t="s">
        <v>163</v>
      </c>
      <c r="I24" t="s">
        <v>100</v>
      </c>
      <c r="J24" t="s">
        <v>124</v>
      </c>
      <c r="K24" s="1">
        <v>45756</v>
      </c>
    </row>
    <row r="25" spans="1:11" x14ac:dyDescent="0.3">
      <c r="A25" t="s">
        <v>187</v>
      </c>
      <c r="B25" s="1">
        <v>45821</v>
      </c>
      <c r="C25" t="s">
        <v>43</v>
      </c>
      <c r="D25" t="s">
        <v>166</v>
      </c>
      <c r="E25">
        <v>575</v>
      </c>
      <c r="F25" t="s">
        <v>162</v>
      </c>
      <c r="G25" t="s">
        <v>163</v>
      </c>
      <c r="I25" t="s">
        <v>72</v>
      </c>
      <c r="J25" t="s">
        <v>121</v>
      </c>
      <c r="K25" s="1">
        <v>45814</v>
      </c>
    </row>
    <row r="26" spans="1:11" x14ac:dyDescent="0.3">
      <c r="A26" t="s">
        <v>188</v>
      </c>
      <c r="B26" s="1">
        <v>45811</v>
      </c>
      <c r="C26" t="s">
        <v>41</v>
      </c>
      <c r="D26" t="s">
        <v>166</v>
      </c>
      <c r="E26">
        <v>643</v>
      </c>
      <c r="F26" t="s">
        <v>162</v>
      </c>
      <c r="G26" t="s">
        <v>163</v>
      </c>
      <c r="I26" t="s">
        <v>88</v>
      </c>
      <c r="J26" t="s">
        <v>127</v>
      </c>
      <c r="K26" s="1">
        <v>45680</v>
      </c>
    </row>
    <row r="27" spans="1:11" x14ac:dyDescent="0.3">
      <c r="A27" t="s">
        <v>189</v>
      </c>
      <c r="B27" s="1">
        <v>45693</v>
      </c>
      <c r="C27" t="s">
        <v>32</v>
      </c>
      <c r="D27" t="s">
        <v>161</v>
      </c>
      <c r="E27">
        <v>930</v>
      </c>
      <c r="F27" t="s">
        <v>162</v>
      </c>
      <c r="G27" t="s">
        <v>163</v>
      </c>
      <c r="I27" t="s">
        <v>86</v>
      </c>
      <c r="J27" t="s">
        <v>115</v>
      </c>
      <c r="K27" s="1">
        <v>45681</v>
      </c>
    </row>
    <row r="28" spans="1:11" x14ac:dyDescent="0.3">
      <c r="A28" t="s">
        <v>190</v>
      </c>
      <c r="B28" s="1">
        <v>45706</v>
      </c>
      <c r="C28" t="s">
        <v>37</v>
      </c>
      <c r="D28" t="s">
        <v>161</v>
      </c>
      <c r="E28">
        <v>807</v>
      </c>
      <c r="F28" t="s">
        <v>162</v>
      </c>
      <c r="G28" t="s">
        <v>163</v>
      </c>
      <c r="I28" t="s">
        <v>64</v>
      </c>
      <c r="J28" t="s">
        <v>139</v>
      </c>
      <c r="K28" s="1">
        <v>45737</v>
      </c>
    </row>
    <row r="29" spans="1:11" x14ac:dyDescent="0.3">
      <c r="A29" t="s">
        <v>191</v>
      </c>
      <c r="B29" s="1">
        <v>45799</v>
      </c>
      <c r="C29" t="s">
        <v>27</v>
      </c>
      <c r="D29" t="s">
        <v>166</v>
      </c>
      <c r="E29">
        <v>627</v>
      </c>
      <c r="F29" t="s">
        <v>162</v>
      </c>
      <c r="G29" t="s">
        <v>163</v>
      </c>
      <c r="I29" t="s">
        <v>60</v>
      </c>
      <c r="J29" t="s">
        <v>139</v>
      </c>
      <c r="K29" s="1">
        <v>45825</v>
      </c>
    </row>
    <row r="30" spans="1:11" x14ac:dyDescent="0.3">
      <c r="A30" t="s">
        <v>192</v>
      </c>
      <c r="B30" s="1">
        <v>45778</v>
      </c>
      <c r="C30" t="s">
        <v>27</v>
      </c>
      <c r="D30" t="s">
        <v>161</v>
      </c>
      <c r="E30">
        <v>226</v>
      </c>
      <c r="F30" t="s">
        <v>162</v>
      </c>
      <c r="G30" t="s">
        <v>163</v>
      </c>
      <c r="I30" t="s">
        <v>102</v>
      </c>
      <c r="J30" t="s">
        <v>130</v>
      </c>
      <c r="K30" s="1">
        <v>45678</v>
      </c>
    </row>
    <row r="31" spans="1:11" x14ac:dyDescent="0.3">
      <c r="A31" t="s">
        <v>193</v>
      </c>
      <c r="B31" s="1">
        <v>45832</v>
      </c>
      <c r="C31" t="s">
        <v>32</v>
      </c>
      <c r="D31" t="s">
        <v>161</v>
      </c>
      <c r="E31">
        <v>315</v>
      </c>
      <c r="F31" t="s">
        <v>162</v>
      </c>
      <c r="G31" t="s">
        <v>163</v>
      </c>
      <c r="I31" t="s">
        <v>57</v>
      </c>
      <c r="J31" t="s">
        <v>130</v>
      </c>
      <c r="K31" s="1">
        <v>45833</v>
      </c>
    </row>
    <row r="32" spans="1:11" x14ac:dyDescent="0.3">
      <c r="A32" t="s">
        <v>194</v>
      </c>
      <c r="B32" s="1">
        <v>45663</v>
      </c>
      <c r="C32" t="s">
        <v>35</v>
      </c>
      <c r="D32" t="s">
        <v>166</v>
      </c>
      <c r="E32">
        <v>922</v>
      </c>
      <c r="F32" t="s">
        <v>162</v>
      </c>
      <c r="G32" t="s">
        <v>163</v>
      </c>
      <c r="I32" t="s">
        <v>66</v>
      </c>
      <c r="J32" t="s">
        <v>139</v>
      </c>
      <c r="K32" s="1">
        <v>45734</v>
      </c>
    </row>
    <row r="33" spans="1:11" x14ac:dyDescent="0.3">
      <c r="A33" t="s">
        <v>195</v>
      </c>
      <c r="B33" s="1">
        <v>45667</v>
      </c>
      <c r="C33" t="s">
        <v>43</v>
      </c>
      <c r="D33" t="s">
        <v>161</v>
      </c>
      <c r="E33">
        <v>774</v>
      </c>
      <c r="F33" t="s">
        <v>162</v>
      </c>
      <c r="G33" t="s">
        <v>163</v>
      </c>
      <c r="I33" t="s">
        <v>80</v>
      </c>
      <c r="J33" t="s">
        <v>121</v>
      </c>
      <c r="K33" s="1">
        <v>45713</v>
      </c>
    </row>
    <row r="34" spans="1:11" x14ac:dyDescent="0.3">
      <c r="A34" t="s">
        <v>196</v>
      </c>
      <c r="B34" s="1">
        <v>45694</v>
      </c>
      <c r="C34" t="s">
        <v>27</v>
      </c>
      <c r="D34" t="s">
        <v>166</v>
      </c>
      <c r="E34">
        <v>553</v>
      </c>
      <c r="F34" t="s">
        <v>162</v>
      </c>
      <c r="G34" t="s">
        <v>163</v>
      </c>
      <c r="I34" t="s">
        <v>64</v>
      </c>
      <c r="J34" t="s">
        <v>139</v>
      </c>
      <c r="K34" s="1">
        <v>45681</v>
      </c>
    </row>
    <row r="35" spans="1:11" x14ac:dyDescent="0.3">
      <c r="A35" t="s">
        <v>197</v>
      </c>
      <c r="B35" s="1">
        <v>45680</v>
      </c>
      <c r="C35" t="s">
        <v>37</v>
      </c>
      <c r="D35" t="s">
        <v>166</v>
      </c>
      <c r="E35">
        <v>560</v>
      </c>
      <c r="F35" t="s">
        <v>162</v>
      </c>
      <c r="G35" t="s">
        <v>163</v>
      </c>
      <c r="I35" t="s">
        <v>88</v>
      </c>
      <c r="J35" t="s">
        <v>124</v>
      </c>
      <c r="K35" s="1">
        <v>45825</v>
      </c>
    </row>
    <row r="36" spans="1:11" x14ac:dyDescent="0.3">
      <c r="A36" t="s">
        <v>198</v>
      </c>
      <c r="B36" s="1">
        <v>45687</v>
      </c>
      <c r="C36" t="s">
        <v>43</v>
      </c>
      <c r="D36" t="s">
        <v>166</v>
      </c>
      <c r="E36">
        <v>212</v>
      </c>
      <c r="F36" t="s">
        <v>162</v>
      </c>
      <c r="G36" t="s">
        <v>163</v>
      </c>
      <c r="I36" t="s">
        <v>76</v>
      </c>
      <c r="J36" t="s">
        <v>142</v>
      </c>
      <c r="K36" s="1">
        <v>45786</v>
      </c>
    </row>
    <row r="37" spans="1:11" x14ac:dyDescent="0.3">
      <c r="A37" t="s">
        <v>199</v>
      </c>
      <c r="B37" s="1">
        <v>45778</v>
      </c>
      <c r="C37" t="s">
        <v>43</v>
      </c>
      <c r="D37" t="s">
        <v>161</v>
      </c>
      <c r="E37">
        <v>99</v>
      </c>
      <c r="F37" t="s">
        <v>162</v>
      </c>
      <c r="G37" t="s">
        <v>163</v>
      </c>
      <c r="I37" t="s">
        <v>92</v>
      </c>
      <c r="J37" t="s">
        <v>118</v>
      </c>
      <c r="K37" s="1">
        <v>45715</v>
      </c>
    </row>
    <row r="38" spans="1:11" x14ac:dyDescent="0.3">
      <c r="A38" t="s">
        <v>200</v>
      </c>
      <c r="B38" s="1">
        <v>45798</v>
      </c>
      <c r="C38" t="s">
        <v>37</v>
      </c>
      <c r="D38" t="s">
        <v>166</v>
      </c>
      <c r="E38">
        <v>923</v>
      </c>
      <c r="F38" t="s">
        <v>162</v>
      </c>
      <c r="G38" t="s">
        <v>163</v>
      </c>
      <c r="I38" t="s">
        <v>78</v>
      </c>
      <c r="J38" t="s">
        <v>133</v>
      </c>
      <c r="K38" s="1">
        <v>45747</v>
      </c>
    </row>
    <row r="39" spans="1:11" x14ac:dyDescent="0.3">
      <c r="A39" t="s">
        <v>201</v>
      </c>
      <c r="B39" s="1">
        <v>45763</v>
      </c>
      <c r="C39" t="s">
        <v>32</v>
      </c>
      <c r="D39" t="s">
        <v>161</v>
      </c>
      <c r="E39">
        <v>768</v>
      </c>
      <c r="F39" t="s">
        <v>162</v>
      </c>
      <c r="G39" t="s">
        <v>163</v>
      </c>
      <c r="I39" t="s">
        <v>88</v>
      </c>
      <c r="J39" t="s">
        <v>124</v>
      </c>
      <c r="K39" s="1">
        <v>45713</v>
      </c>
    </row>
    <row r="40" spans="1:11" x14ac:dyDescent="0.3">
      <c r="A40" t="s">
        <v>202</v>
      </c>
      <c r="B40" s="1">
        <v>45820</v>
      </c>
      <c r="C40" t="s">
        <v>37</v>
      </c>
      <c r="D40" t="s">
        <v>166</v>
      </c>
      <c r="E40">
        <v>181</v>
      </c>
      <c r="F40" t="s">
        <v>162</v>
      </c>
      <c r="G40" t="s">
        <v>163</v>
      </c>
      <c r="I40" t="s">
        <v>82</v>
      </c>
      <c r="J40" t="s">
        <v>133</v>
      </c>
      <c r="K40" s="1">
        <v>45733</v>
      </c>
    </row>
    <row r="41" spans="1:11" x14ac:dyDescent="0.3">
      <c r="A41" t="s">
        <v>203</v>
      </c>
      <c r="B41" s="1">
        <v>45790</v>
      </c>
      <c r="C41" t="s">
        <v>29</v>
      </c>
      <c r="D41" t="s">
        <v>161</v>
      </c>
      <c r="E41">
        <v>387</v>
      </c>
      <c r="F41" t="s">
        <v>162</v>
      </c>
      <c r="G41" t="s">
        <v>163</v>
      </c>
      <c r="I41" t="s">
        <v>82</v>
      </c>
      <c r="J41" t="s">
        <v>130</v>
      </c>
      <c r="K41" s="1">
        <v>45694</v>
      </c>
    </row>
    <row r="42" spans="1:11" x14ac:dyDescent="0.3">
      <c r="A42" t="s">
        <v>204</v>
      </c>
      <c r="B42" s="1">
        <v>45786</v>
      </c>
      <c r="C42" t="s">
        <v>29</v>
      </c>
      <c r="D42" t="s">
        <v>166</v>
      </c>
      <c r="E42">
        <v>993</v>
      </c>
      <c r="F42" t="s">
        <v>162</v>
      </c>
      <c r="G42" t="s">
        <v>163</v>
      </c>
      <c r="I42" t="s">
        <v>88</v>
      </c>
      <c r="J42" t="s">
        <v>127</v>
      </c>
      <c r="K42" s="1">
        <v>45741</v>
      </c>
    </row>
    <row r="43" spans="1:11" x14ac:dyDescent="0.3">
      <c r="A43" t="s">
        <v>205</v>
      </c>
      <c r="B43" s="1">
        <v>45790</v>
      </c>
      <c r="C43" t="s">
        <v>41</v>
      </c>
      <c r="D43" t="s">
        <v>166</v>
      </c>
      <c r="E43">
        <v>919</v>
      </c>
      <c r="F43" t="s">
        <v>162</v>
      </c>
      <c r="G43" t="s">
        <v>163</v>
      </c>
      <c r="I43" t="s">
        <v>92</v>
      </c>
      <c r="J43" t="s">
        <v>121</v>
      </c>
      <c r="K43" s="1">
        <v>45740</v>
      </c>
    </row>
    <row r="44" spans="1:11" x14ac:dyDescent="0.3">
      <c r="A44" t="s">
        <v>206</v>
      </c>
      <c r="B44" s="1">
        <v>45715</v>
      </c>
      <c r="C44" t="s">
        <v>37</v>
      </c>
      <c r="D44" t="s">
        <v>161</v>
      </c>
      <c r="E44">
        <v>62</v>
      </c>
      <c r="F44" t="s">
        <v>162</v>
      </c>
      <c r="G44" t="s">
        <v>163</v>
      </c>
      <c r="I44" t="s">
        <v>72</v>
      </c>
      <c r="J44" t="s">
        <v>115</v>
      </c>
      <c r="K44" s="1">
        <v>45728</v>
      </c>
    </row>
    <row r="45" spans="1:11" x14ac:dyDescent="0.3">
      <c r="A45" t="s">
        <v>207</v>
      </c>
      <c r="B45" s="1">
        <v>45671</v>
      </c>
      <c r="C45" t="s">
        <v>35</v>
      </c>
      <c r="D45" t="s">
        <v>161</v>
      </c>
      <c r="E45">
        <v>357</v>
      </c>
      <c r="F45" t="s">
        <v>162</v>
      </c>
      <c r="G45" t="s">
        <v>163</v>
      </c>
      <c r="I45" t="s">
        <v>104</v>
      </c>
      <c r="J45" t="s">
        <v>115</v>
      </c>
      <c r="K45" s="1">
        <v>45736</v>
      </c>
    </row>
    <row r="46" spans="1:11" x14ac:dyDescent="0.3">
      <c r="A46" t="s">
        <v>208</v>
      </c>
      <c r="B46" s="1">
        <v>45786</v>
      </c>
      <c r="C46" t="s">
        <v>41</v>
      </c>
      <c r="D46" t="s">
        <v>161</v>
      </c>
      <c r="E46">
        <v>156</v>
      </c>
      <c r="F46" t="s">
        <v>162</v>
      </c>
      <c r="G46" t="s">
        <v>163</v>
      </c>
      <c r="I46" t="s">
        <v>48</v>
      </c>
      <c r="J46" t="s">
        <v>124</v>
      </c>
      <c r="K46" s="1">
        <v>45789</v>
      </c>
    </row>
    <row r="47" spans="1:11" x14ac:dyDescent="0.3">
      <c r="A47" t="s">
        <v>209</v>
      </c>
      <c r="B47" s="1">
        <v>45778</v>
      </c>
      <c r="C47" t="s">
        <v>41</v>
      </c>
      <c r="D47" t="s">
        <v>161</v>
      </c>
      <c r="E47">
        <v>25</v>
      </c>
      <c r="F47" t="s">
        <v>162</v>
      </c>
      <c r="G47" t="s">
        <v>163</v>
      </c>
      <c r="I47" t="s">
        <v>74</v>
      </c>
      <c r="J47" t="s">
        <v>139</v>
      </c>
      <c r="K47" s="1">
        <v>45743</v>
      </c>
    </row>
    <row r="48" spans="1:11" x14ac:dyDescent="0.3">
      <c r="A48" t="s">
        <v>210</v>
      </c>
      <c r="B48" s="1">
        <v>45756</v>
      </c>
      <c r="C48" t="s">
        <v>27</v>
      </c>
      <c r="D48" t="s">
        <v>166</v>
      </c>
      <c r="E48">
        <v>24</v>
      </c>
      <c r="F48" t="s">
        <v>162</v>
      </c>
      <c r="G48" t="s">
        <v>163</v>
      </c>
      <c r="I48" t="s">
        <v>88</v>
      </c>
      <c r="J48" t="s">
        <v>115</v>
      </c>
      <c r="K48" s="1">
        <v>45838</v>
      </c>
    </row>
    <row r="49" spans="1:11" x14ac:dyDescent="0.3">
      <c r="A49" t="s">
        <v>211</v>
      </c>
      <c r="B49" s="1">
        <v>45811</v>
      </c>
      <c r="C49" t="s">
        <v>37</v>
      </c>
      <c r="D49" t="s">
        <v>161</v>
      </c>
      <c r="E49">
        <v>721</v>
      </c>
      <c r="F49" t="s">
        <v>162</v>
      </c>
      <c r="G49" t="s">
        <v>163</v>
      </c>
      <c r="I49" t="s">
        <v>86</v>
      </c>
      <c r="J49" t="s">
        <v>115</v>
      </c>
      <c r="K49" s="1">
        <v>45726</v>
      </c>
    </row>
    <row r="50" spans="1:11" x14ac:dyDescent="0.3">
      <c r="A50" t="s">
        <v>212</v>
      </c>
      <c r="B50" s="1">
        <v>45813</v>
      </c>
      <c r="C50" t="s">
        <v>43</v>
      </c>
      <c r="D50" t="s">
        <v>161</v>
      </c>
      <c r="E50">
        <v>855</v>
      </c>
      <c r="F50" t="s">
        <v>162</v>
      </c>
      <c r="G50" t="s">
        <v>163</v>
      </c>
      <c r="I50" t="s">
        <v>48</v>
      </c>
      <c r="J50" t="s">
        <v>127</v>
      </c>
      <c r="K50" s="1">
        <v>45679</v>
      </c>
    </row>
    <row r="51" spans="1:11" x14ac:dyDescent="0.3">
      <c r="A51" t="s">
        <v>213</v>
      </c>
      <c r="B51" s="1">
        <v>45716</v>
      </c>
      <c r="C51" t="s">
        <v>41</v>
      </c>
      <c r="D51" t="s">
        <v>161</v>
      </c>
      <c r="E51">
        <v>855</v>
      </c>
      <c r="F51" t="s">
        <v>162</v>
      </c>
      <c r="G51" t="s">
        <v>163</v>
      </c>
      <c r="I51" t="s">
        <v>88</v>
      </c>
      <c r="J51" t="s">
        <v>142</v>
      </c>
      <c r="K51" s="1">
        <v>45810</v>
      </c>
    </row>
    <row r="52" spans="1:11" x14ac:dyDescent="0.3">
      <c r="A52" t="s">
        <v>214</v>
      </c>
      <c r="B52" s="1">
        <v>45735</v>
      </c>
      <c r="C52" t="s">
        <v>37</v>
      </c>
      <c r="D52" t="s">
        <v>166</v>
      </c>
      <c r="E52">
        <v>164</v>
      </c>
      <c r="F52" t="s">
        <v>162</v>
      </c>
      <c r="G52" t="s">
        <v>163</v>
      </c>
      <c r="I52" t="s">
        <v>57</v>
      </c>
      <c r="J52" t="s">
        <v>139</v>
      </c>
      <c r="K52" s="1">
        <v>45784</v>
      </c>
    </row>
    <row r="53" spans="1:11" x14ac:dyDescent="0.3">
      <c r="A53" t="s">
        <v>215</v>
      </c>
      <c r="B53" s="1">
        <v>45750</v>
      </c>
      <c r="C53" t="s">
        <v>27</v>
      </c>
      <c r="D53" t="s">
        <v>166</v>
      </c>
      <c r="E53">
        <v>931</v>
      </c>
      <c r="F53" t="s">
        <v>162</v>
      </c>
      <c r="G53" t="s">
        <v>163</v>
      </c>
      <c r="I53" t="s">
        <v>80</v>
      </c>
      <c r="J53" t="s">
        <v>118</v>
      </c>
      <c r="K53" s="1">
        <v>45765</v>
      </c>
    </row>
    <row r="54" spans="1:11" x14ac:dyDescent="0.3">
      <c r="A54" t="s">
        <v>216</v>
      </c>
      <c r="B54" s="1">
        <v>45821</v>
      </c>
      <c r="C54" t="s">
        <v>27</v>
      </c>
      <c r="D54" t="s">
        <v>166</v>
      </c>
      <c r="E54">
        <v>859</v>
      </c>
      <c r="F54" t="s">
        <v>162</v>
      </c>
      <c r="G54" t="s">
        <v>163</v>
      </c>
      <c r="I54" t="s">
        <v>104</v>
      </c>
      <c r="J54" t="s">
        <v>136</v>
      </c>
      <c r="K54" s="1">
        <v>45806</v>
      </c>
    </row>
    <row r="55" spans="1:11" x14ac:dyDescent="0.3">
      <c r="A55" t="s">
        <v>217</v>
      </c>
      <c r="B55" s="1">
        <v>45812</v>
      </c>
      <c r="C55" t="s">
        <v>27</v>
      </c>
      <c r="D55" t="s">
        <v>166</v>
      </c>
      <c r="E55">
        <v>770</v>
      </c>
      <c r="F55" t="s">
        <v>162</v>
      </c>
      <c r="G55" t="s">
        <v>163</v>
      </c>
      <c r="I55" t="s">
        <v>66</v>
      </c>
      <c r="J55" t="s">
        <v>130</v>
      </c>
      <c r="K55" s="1">
        <v>45726</v>
      </c>
    </row>
    <row r="56" spans="1:11" x14ac:dyDescent="0.3">
      <c r="A56" t="s">
        <v>218</v>
      </c>
      <c r="B56" s="1">
        <v>45677</v>
      </c>
      <c r="C56" t="s">
        <v>29</v>
      </c>
      <c r="D56" t="s">
        <v>161</v>
      </c>
      <c r="E56">
        <v>383</v>
      </c>
      <c r="F56" t="s">
        <v>162</v>
      </c>
      <c r="G56" t="s">
        <v>163</v>
      </c>
      <c r="I56" t="s">
        <v>108</v>
      </c>
      <c r="J56" t="s">
        <v>142</v>
      </c>
      <c r="K56" s="1">
        <v>45670</v>
      </c>
    </row>
    <row r="57" spans="1:11" x14ac:dyDescent="0.3">
      <c r="A57" t="s">
        <v>219</v>
      </c>
      <c r="B57" s="1">
        <v>45785</v>
      </c>
      <c r="C57" t="s">
        <v>39</v>
      </c>
      <c r="D57" t="s">
        <v>166</v>
      </c>
      <c r="E57">
        <v>965</v>
      </c>
      <c r="F57" t="s">
        <v>162</v>
      </c>
      <c r="G57" t="s">
        <v>163</v>
      </c>
      <c r="I57" t="s">
        <v>96</v>
      </c>
      <c r="J57" t="s">
        <v>115</v>
      </c>
      <c r="K57" s="1">
        <v>45768</v>
      </c>
    </row>
    <row r="58" spans="1:11" x14ac:dyDescent="0.3">
      <c r="A58" t="s">
        <v>220</v>
      </c>
      <c r="B58" s="1">
        <v>45708</v>
      </c>
      <c r="C58" t="s">
        <v>32</v>
      </c>
      <c r="D58" t="s">
        <v>166</v>
      </c>
      <c r="E58">
        <v>419</v>
      </c>
      <c r="F58" t="s">
        <v>162</v>
      </c>
      <c r="G58" t="s">
        <v>163</v>
      </c>
      <c r="I58" t="s">
        <v>86</v>
      </c>
      <c r="J58" t="s">
        <v>136</v>
      </c>
      <c r="K58" s="1">
        <v>45828</v>
      </c>
    </row>
    <row r="59" spans="1:11" x14ac:dyDescent="0.3">
      <c r="A59" t="s">
        <v>221</v>
      </c>
      <c r="B59" s="1">
        <v>45695</v>
      </c>
      <c r="C59" t="s">
        <v>27</v>
      </c>
      <c r="D59" t="s">
        <v>161</v>
      </c>
      <c r="E59">
        <v>428</v>
      </c>
      <c r="F59" t="s">
        <v>162</v>
      </c>
      <c r="G59" t="s">
        <v>163</v>
      </c>
      <c r="I59" t="s">
        <v>76</v>
      </c>
      <c r="J59" t="s">
        <v>115</v>
      </c>
      <c r="K59" s="1">
        <v>45783</v>
      </c>
    </row>
    <row r="60" spans="1:11" x14ac:dyDescent="0.3">
      <c r="A60" t="s">
        <v>222</v>
      </c>
      <c r="B60" s="1">
        <v>45776</v>
      </c>
      <c r="C60" t="s">
        <v>39</v>
      </c>
      <c r="D60" t="s">
        <v>166</v>
      </c>
      <c r="E60">
        <v>803</v>
      </c>
      <c r="F60" t="s">
        <v>162</v>
      </c>
      <c r="G60" t="s">
        <v>163</v>
      </c>
      <c r="I60" t="s">
        <v>70</v>
      </c>
      <c r="J60" t="s">
        <v>115</v>
      </c>
      <c r="K60" s="1">
        <v>45733</v>
      </c>
    </row>
    <row r="61" spans="1:11" x14ac:dyDescent="0.3">
      <c r="A61" t="s">
        <v>223</v>
      </c>
      <c r="B61" s="1">
        <v>45778</v>
      </c>
      <c r="C61" t="s">
        <v>41</v>
      </c>
      <c r="D61" t="s">
        <v>161</v>
      </c>
      <c r="E61">
        <v>472</v>
      </c>
      <c r="F61" t="s">
        <v>162</v>
      </c>
      <c r="G61" t="s">
        <v>163</v>
      </c>
      <c r="I61" t="s">
        <v>66</v>
      </c>
      <c r="J61" t="s">
        <v>127</v>
      </c>
      <c r="K61" s="1">
        <v>45762</v>
      </c>
    </row>
    <row r="62" spans="1:11" x14ac:dyDescent="0.3">
      <c r="A62" t="s">
        <v>224</v>
      </c>
      <c r="B62" s="1">
        <v>45818</v>
      </c>
      <c r="C62" t="s">
        <v>32</v>
      </c>
      <c r="D62" t="s">
        <v>161</v>
      </c>
      <c r="E62">
        <v>312</v>
      </c>
      <c r="F62" t="s">
        <v>162</v>
      </c>
      <c r="G62" t="s">
        <v>163</v>
      </c>
      <c r="I62" t="s">
        <v>68</v>
      </c>
      <c r="J62" t="s">
        <v>133</v>
      </c>
      <c r="K62" s="1">
        <v>45803</v>
      </c>
    </row>
    <row r="63" spans="1:11" x14ac:dyDescent="0.3">
      <c r="A63" t="s">
        <v>225</v>
      </c>
      <c r="B63" s="1">
        <v>45736</v>
      </c>
      <c r="C63" t="s">
        <v>29</v>
      </c>
      <c r="D63" t="s">
        <v>161</v>
      </c>
      <c r="E63">
        <v>808</v>
      </c>
      <c r="F63" t="s">
        <v>162</v>
      </c>
      <c r="G63" t="s">
        <v>163</v>
      </c>
      <c r="I63" t="s">
        <v>72</v>
      </c>
      <c r="J63" t="s">
        <v>142</v>
      </c>
      <c r="K63" s="1">
        <v>45803</v>
      </c>
    </row>
    <row r="64" spans="1:11" x14ac:dyDescent="0.3">
      <c r="A64" t="s">
        <v>226</v>
      </c>
      <c r="B64" s="1">
        <v>45798</v>
      </c>
      <c r="C64" t="s">
        <v>43</v>
      </c>
      <c r="D64" t="s">
        <v>161</v>
      </c>
      <c r="E64">
        <v>767</v>
      </c>
      <c r="F64" t="s">
        <v>162</v>
      </c>
      <c r="G64" t="s">
        <v>163</v>
      </c>
      <c r="I64" t="s">
        <v>51</v>
      </c>
      <c r="J64" t="s">
        <v>124</v>
      </c>
      <c r="K64" s="1">
        <v>45778</v>
      </c>
    </row>
    <row r="65" spans="1:11" x14ac:dyDescent="0.3">
      <c r="A65" t="s">
        <v>227</v>
      </c>
      <c r="B65" s="1">
        <v>45762</v>
      </c>
      <c r="C65" t="s">
        <v>27</v>
      </c>
      <c r="D65" t="s">
        <v>166</v>
      </c>
      <c r="E65">
        <v>258</v>
      </c>
      <c r="F65" t="s">
        <v>162</v>
      </c>
      <c r="G65" t="s">
        <v>163</v>
      </c>
      <c r="I65" t="s">
        <v>68</v>
      </c>
      <c r="J65" t="s">
        <v>124</v>
      </c>
      <c r="K65" s="1">
        <v>45754</v>
      </c>
    </row>
    <row r="66" spans="1:11" x14ac:dyDescent="0.3">
      <c r="A66" t="s">
        <v>228</v>
      </c>
      <c r="B66" s="1">
        <v>45660</v>
      </c>
      <c r="C66" t="s">
        <v>41</v>
      </c>
      <c r="D66" t="s">
        <v>166</v>
      </c>
      <c r="E66">
        <v>512</v>
      </c>
      <c r="F66" t="s">
        <v>162</v>
      </c>
      <c r="G66" t="s">
        <v>163</v>
      </c>
      <c r="I66" t="s">
        <v>72</v>
      </c>
      <c r="J66" t="s">
        <v>115</v>
      </c>
      <c r="K66" s="1">
        <v>45730</v>
      </c>
    </row>
    <row r="67" spans="1:11" x14ac:dyDescent="0.3">
      <c r="A67" t="s">
        <v>229</v>
      </c>
      <c r="B67" s="1">
        <v>45658</v>
      </c>
      <c r="C67" t="s">
        <v>27</v>
      </c>
      <c r="D67" t="s">
        <v>166</v>
      </c>
      <c r="E67">
        <v>162</v>
      </c>
      <c r="F67" t="s">
        <v>162</v>
      </c>
      <c r="G67" t="s">
        <v>163</v>
      </c>
      <c r="I67" t="s">
        <v>108</v>
      </c>
      <c r="J67" t="s">
        <v>115</v>
      </c>
      <c r="K67" s="1">
        <v>45826</v>
      </c>
    </row>
    <row r="68" spans="1:11" x14ac:dyDescent="0.3">
      <c r="A68" t="s">
        <v>230</v>
      </c>
      <c r="B68" s="1">
        <v>45692</v>
      </c>
      <c r="C68" t="s">
        <v>27</v>
      </c>
      <c r="D68" t="s">
        <v>161</v>
      </c>
      <c r="E68">
        <v>537</v>
      </c>
      <c r="F68" t="s">
        <v>162</v>
      </c>
      <c r="G68" t="s">
        <v>163</v>
      </c>
      <c r="I68" t="s">
        <v>80</v>
      </c>
      <c r="J68" t="s">
        <v>133</v>
      </c>
      <c r="K68" s="1">
        <v>45770</v>
      </c>
    </row>
    <row r="69" spans="1:11" x14ac:dyDescent="0.3">
      <c r="A69" t="s">
        <v>231</v>
      </c>
      <c r="B69" s="1">
        <v>45705</v>
      </c>
      <c r="C69" t="s">
        <v>35</v>
      </c>
      <c r="D69" t="s">
        <v>166</v>
      </c>
      <c r="E69">
        <v>354</v>
      </c>
      <c r="F69" t="s">
        <v>162</v>
      </c>
      <c r="G69" t="s">
        <v>163</v>
      </c>
      <c r="I69" t="s">
        <v>86</v>
      </c>
      <c r="J69" t="s">
        <v>115</v>
      </c>
      <c r="K69" s="1">
        <v>45810</v>
      </c>
    </row>
    <row r="70" spans="1:11" x14ac:dyDescent="0.3">
      <c r="A70" t="s">
        <v>232</v>
      </c>
      <c r="B70" s="1">
        <v>45804</v>
      </c>
      <c r="C70" t="s">
        <v>32</v>
      </c>
      <c r="D70" t="s">
        <v>161</v>
      </c>
      <c r="E70">
        <v>57</v>
      </c>
      <c r="F70" t="s">
        <v>162</v>
      </c>
      <c r="G70" t="s">
        <v>163</v>
      </c>
      <c r="I70" t="s">
        <v>80</v>
      </c>
      <c r="J70" t="s">
        <v>127</v>
      </c>
      <c r="K70" s="1">
        <v>45743</v>
      </c>
    </row>
    <row r="71" spans="1:11" x14ac:dyDescent="0.3">
      <c r="A71" t="s">
        <v>233</v>
      </c>
      <c r="B71" s="1">
        <v>45678</v>
      </c>
      <c r="C71" t="s">
        <v>37</v>
      </c>
      <c r="D71" t="s">
        <v>161</v>
      </c>
      <c r="E71">
        <v>525</v>
      </c>
      <c r="F71" t="s">
        <v>162</v>
      </c>
      <c r="G71" t="s">
        <v>163</v>
      </c>
      <c r="I71" t="s">
        <v>84</v>
      </c>
      <c r="J71" t="s">
        <v>136</v>
      </c>
      <c r="K71" s="1">
        <v>45688</v>
      </c>
    </row>
    <row r="72" spans="1:11" x14ac:dyDescent="0.3">
      <c r="A72" t="s">
        <v>234</v>
      </c>
      <c r="B72" s="1">
        <v>45796</v>
      </c>
      <c r="C72" t="s">
        <v>27</v>
      </c>
      <c r="D72" t="s">
        <v>161</v>
      </c>
      <c r="E72">
        <v>898</v>
      </c>
      <c r="F72" t="s">
        <v>162</v>
      </c>
      <c r="G72" t="s">
        <v>163</v>
      </c>
      <c r="I72" t="s">
        <v>108</v>
      </c>
      <c r="J72" t="s">
        <v>136</v>
      </c>
      <c r="K72" s="1">
        <v>45813</v>
      </c>
    </row>
    <row r="73" spans="1:11" x14ac:dyDescent="0.3">
      <c r="A73" t="s">
        <v>235</v>
      </c>
      <c r="B73" s="1">
        <v>45810</v>
      </c>
      <c r="C73" t="s">
        <v>27</v>
      </c>
      <c r="D73" t="s">
        <v>166</v>
      </c>
      <c r="E73">
        <v>339</v>
      </c>
      <c r="F73" t="s">
        <v>162</v>
      </c>
      <c r="G73" t="s">
        <v>163</v>
      </c>
      <c r="I73" t="s">
        <v>66</v>
      </c>
      <c r="J73" t="s">
        <v>130</v>
      </c>
      <c r="K73" s="1">
        <v>45820</v>
      </c>
    </row>
    <row r="74" spans="1:11" x14ac:dyDescent="0.3">
      <c r="A74" t="s">
        <v>236</v>
      </c>
      <c r="B74" s="1">
        <v>45670</v>
      </c>
      <c r="C74" t="s">
        <v>41</v>
      </c>
      <c r="D74" t="s">
        <v>166</v>
      </c>
      <c r="E74">
        <v>999</v>
      </c>
      <c r="F74" t="s">
        <v>162</v>
      </c>
      <c r="G74" t="s">
        <v>163</v>
      </c>
      <c r="I74" t="s">
        <v>78</v>
      </c>
      <c r="J74" t="s">
        <v>142</v>
      </c>
      <c r="K74" s="1">
        <v>45792</v>
      </c>
    </row>
    <row r="75" spans="1:11" x14ac:dyDescent="0.3">
      <c r="A75" t="s">
        <v>237</v>
      </c>
      <c r="B75" s="1">
        <v>45708</v>
      </c>
      <c r="C75" t="s">
        <v>29</v>
      </c>
      <c r="D75" t="s">
        <v>166</v>
      </c>
      <c r="E75">
        <v>83</v>
      </c>
      <c r="F75" t="s">
        <v>162</v>
      </c>
      <c r="G75" t="s">
        <v>163</v>
      </c>
      <c r="I75" t="s">
        <v>64</v>
      </c>
      <c r="J75" t="s">
        <v>130</v>
      </c>
      <c r="K75" s="1">
        <v>45793</v>
      </c>
    </row>
    <row r="76" spans="1:11" x14ac:dyDescent="0.3">
      <c r="A76" t="s">
        <v>238</v>
      </c>
      <c r="B76" s="1">
        <v>45713</v>
      </c>
      <c r="C76" t="s">
        <v>39</v>
      </c>
      <c r="D76" t="s">
        <v>161</v>
      </c>
      <c r="E76">
        <v>841</v>
      </c>
      <c r="F76" t="s">
        <v>162</v>
      </c>
      <c r="G76" t="s">
        <v>163</v>
      </c>
      <c r="I76" t="s">
        <v>62</v>
      </c>
      <c r="J76" t="s">
        <v>139</v>
      </c>
      <c r="K76" s="1">
        <v>45812</v>
      </c>
    </row>
    <row r="77" spans="1:11" x14ac:dyDescent="0.3">
      <c r="A77" t="s">
        <v>239</v>
      </c>
      <c r="B77" s="1">
        <v>45700</v>
      </c>
      <c r="C77" t="s">
        <v>43</v>
      </c>
      <c r="D77" t="s">
        <v>161</v>
      </c>
      <c r="E77">
        <v>443</v>
      </c>
      <c r="F77" t="s">
        <v>162</v>
      </c>
      <c r="G77" t="s">
        <v>163</v>
      </c>
      <c r="I77" t="s">
        <v>54</v>
      </c>
      <c r="J77" t="s">
        <v>115</v>
      </c>
      <c r="K77" s="1">
        <v>45751</v>
      </c>
    </row>
    <row r="78" spans="1:11" x14ac:dyDescent="0.3">
      <c r="A78" t="s">
        <v>240</v>
      </c>
      <c r="B78" s="1">
        <v>45827</v>
      </c>
      <c r="C78" t="s">
        <v>32</v>
      </c>
      <c r="D78" t="s">
        <v>166</v>
      </c>
      <c r="E78">
        <v>880</v>
      </c>
      <c r="F78" t="s">
        <v>162</v>
      </c>
      <c r="G78" t="s">
        <v>163</v>
      </c>
      <c r="I78" t="s">
        <v>96</v>
      </c>
      <c r="J78" t="s">
        <v>115</v>
      </c>
      <c r="K78" s="1">
        <v>45818</v>
      </c>
    </row>
    <row r="79" spans="1:11" x14ac:dyDescent="0.3">
      <c r="A79" t="s">
        <v>241</v>
      </c>
      <c r="B79" s="1">
        <v>45754</v>
      </c>
      <c r="C79" t="s">
        <v>32</v>
      </c>
      <c r="D79" t="s">
        <v>161</v>
      </c>
      <c r="E79">
        <v>988</v>
      </c>
      <c r="F79" t="s">
        <v>162</v>
      </c>
      <c r="G79" t="s">
        <v>163</v>
      </c>
      <c r="I79" t="s">
        <v>92</v>
      </c>
      <c r="J79" t="s">
        <v>115</v>
      </c>
      <c r="K79" s="1">
        <v>45772</v>
      </c>
    </row>
    <row r="80" spans="1:11" x14ac:dyDescent="0.3">
      <c r="A80" t="s">
        <v>242</v>
      </c>
      <c r="B80" s="1">
        <v>45835</v>
      </c>
      <c r="C80" t="s">
        <v>39</v>
      </c>
      <c r="D80" t="s">
        <v>166</v>
      </c>
      <c r="E80">
        <v>225</v>
      </c>
      <c r="F80" t="s">
        <v>162</v>
      </c>
      <c r="G80" t="s">
        <v>163</v>
      </c>
      <c r="I80" t="s">
        <v>68</v>
      </c>
      <c r="J80" t="s">
        <v>136</v>
      </c>
      <c r="K80" s="1">
        <v>45723</v>
      </c>
    </row>
    <row r="81" spans="1:11" x14ac:dyDescent="0.3">
      <c r="A81" t="s">
        <v>243</v>
      </c>
      <c r="B81" s="1">
        <v>45666</v>
      </c>
      <c r="C81" t="s">
        <v>29</v>
      </c>
      <c r="D81" t="s">
        <v>166</v>
      </c>
      <c r="E81">
        <v>551</v>
      </c>
      <c r="F81" t="s">
        <v>162</v>
      </c>
      <c r="G81" t="s">
        <v>163</v>
      </c>
      <c r="I81" t="s">
        <v>70</v>
      </c>
      <c r="J81" t="s">
        <v>127</v>
      </c>
      <c r="K81" s="1">
        <v>45664</v>
      </c>
    </row>
    <row r="82" spans="1:11" x14ac:dyDescent="0.3">
      <c r="A82" t="s">
        <v>244</v>
      </c>
      <c r="B82" s="1">
        <v>45769</v>
      </c>
      <c r="C82" t="s">
        <v>35</v>
      </c>
      <c r="D82" t="s">
        <v>166</v>
      </c>
      <c r="E82">
        <v>509</v>
      </c>
      <c r="F82" t="s">
        <v>162</v>
      </c>
      <c r="G82" t="s">
        <v>163</v>
      </c>
      <c r="I82" t="s">
        <v>98</v>
      </c>
      <c r="J82" t="s">
        <v>115</v>
      </c>
      <c r="K82" s="1">
        <v>45755</v>
      </c>
    </row>
    <row r="83" spans="1:11" x14ac:dyDescent="0.3">
      <c r="A83" t="s">
        <v>245</v>
      </c>
      <c r="B83" s="1">
        <v>45698</v>
      </c>
      <c r="C83" t="s">
        <v>37</v>
      </c>
      <c r="D83" t="s">
        <v>161</v>
      </c>
      <c r="E83">
        <v>135</v>
      </c>
      <c r="F83" t="s">
        <v>162</v>
      </c>
      <c r="G83" t="s">
        <v>163</v>
      </c>
      <c r="I83" t="s">
        <v>54</v>
      </c>
      <c r="J83" t="s">
        <v>118</v>
      </c>
      <c r="K83" s="1">
        <v>45729</v>
      </c>
    </row>
    <row r="84" spans="1:11" x14ac:dyDescent="0.3">
      <c r="A84" t="s">
        <v>246</v>
      </c>
      <c r="B84" s="1">
        <v>45833</v>
      </c>
      <c r="C84" t="s">
        <v>41</v>
      </c>
      <c r="D84" t="s">
        <v>166</v>
      </c>
      <c r="E84">
        <v>491</v>
      </c>
      <c r="F84" t="s">
        <v>162</v>
      </c>
      <c r="G84" t="s">
        <v>163</v>
      </c>
      <c r="I84" t="s">
        <v>106</v>
      </c>
      <c r="J84" t="s">
        <v>118</v>
      </c>
      <c r="K84" s="1">
        <v>45796</v>
      </c>
    </row>
    <row r="85" spans="1:11" x14ac:dyDescent="0.3">
      <c r="A85" t="s">
        <v>247</v>
      </c>
      <c r="B85" s="1">
        <v>45813</v>
      </c>
      <c r="C85" t="s">
        <v>29</v>
      </c>
      <c r="D85" t="s">
        <v>161</v>
      </c>
      <c r="E85">
        <v>745</v>
      </c>
      <c r="F85" t="s">
        <v>162</v>
      </c>
      <c r="G85" t="s">
        <v>163</v>
      </c>
      <c r="I85" t="s">
        <v>70</v>
      </c>
      <c r="J85" t="s">
        <v>115</v>
      </c>
      <c r="K85" s="1">
        <v>45833</v>
      </c>
    </row>
    <row r="86" spans="1:11" x14ac:dyDescent="0.3">
      <c r="A86" t="s">
        <v>248</v>
      </c>
      <c r="B86" s="1">
        <v>45735</v>
      </c>
      <c r="C86" t="s">
        <v>37</v>
      </c>
      <c r="D86" t="s">
        <v>161</v>
      </c>
      <c r="E86">
        <v>717</v>
      </c>
      <c r="F86" t="s">
        <v>162</v>
      </c>
      <c r="G86" t="s">
        <v>163</v>
      </c>
      <c r="I86" t="s">
        <v>64</v>
      </c>
      <c r="J86" t="s">
        <v>124</v>
      </c>
      <c r="K86" s="1">
        <v>45782</v>
      </c>
    </row>
    <row r="87" spans="1:11" x14ac:dyDescent="0.3">
      <c r="A87" t="s">
        <v>249</v>
      </c>
      <c r="B87" s="1">
        <v>45778</v>
      </c>
      <c r="C87" t="s">
        <v>27</v>
      </c>
      <c r="D87" t="s">
        <v>166</v>
      </c>
      <c r="E87">
        <v>562</v>
      </c>
      <c r="F87" t="s">
        <v>162</v>
      </c>
      <c r="G87" t="s">
        <v>163</v>
      </c>
      <c r="I87" t="s">
        <v>57</v>
      </c>
      <c r="J87" t="s">
        <v>124</v>
      </c>
      <c r="K87" s="1">
        <v>45838</v>
      </c>
    </row>
    <row r="88" spans="1:11" x14ac:dyDescent="0.3">
      <c r="A88" t="s">
        <v>250</v>
      </c>
      <c r="B88" s="1">
        <v>45834</v>
      </c>
      <c r="C88" t="s">
        <v>39</v>
      </c>
      <c r="D88" t="s">
        <v>166</v>
      </c>
      <c r="E88">
        <v>218</v>
      </c>
      <c r="F88" t="s">
        <v>162</v>
      </c>
      <c r="G88" t="s">
        <v>163</v>
      </c>
      <c r="I88" t="s">
        <v>51</v>
      </c>
      <c r="J88" t="s">
        <v>139</v>
      </c>
      <c r="K88" s="1">
        <v>45742</v>
      </c>
    </row>
    <row r="89" spans="1:11" x14ac:dyDescent="0.3">
      <c r="A89" t="s">
        <v>251</v>
      </c>
      <c r="B89" s="1">
        <v>45813</v>
      </c>
      <c r="C89" t="s">
        <v>41</v>
      </c>
      <c r="D89" t="s">
        <v>166</v>
      </c>
      <c r="E89">
        <v>262</v>
      </c>
      <c r="F89" t="s">
        <v>162</v>
      </c>
      <c r="G89" t="s">
        <v>163</v>
      </c>
      <c r="I89" t="s">
        <v>68</v>
      </c>
      <c r="J89" t="s">
        <v>124</v>
      </c>
      <c r="K89" s="1">
        <v>45779</v>
      </c>
    </row>
    <row r="90" spans="1:11" x14ac:dyDescent="0.3">
      <c r="A90" t="s">
        <v>252</v>
      </c>
      <c r="B90" s="1">
        <v>45727</v>
      </c>
      <c r="C90" t="s">
        <v>43</v>
      </c>
      <c r="D90" t="s">
        <v>166</v>
      </c>
      <c r="E90">
        <v>511</v>
      </c>
      <c r="F90" t="s">
        <v>162</v>
      </c>
      <c r="G90" t="s">
        <v>163</v>
      </c>
      <c r="I90" t="s">
        <v>76</v>
      </c>
      <c r="J90" t="s">
        <v>118</v>
      </c>
      <c r="K90" s="1">
        <v>45749</v>
      </c>
    </row>
    <row r="91" spans="1:11" x14ac:dyDescent="0.3">
      <c r="A91" t="s">
        <v>253</v>
      </c>
      <c r="B91" s="1">
        <v>45791</v>
      </c>
      <c r="C91" t="s">
        <v>39</v>
      </c>
      <c r="D91" t="s">
        <v>161</v>
      </c>
      <c r="E91">
        <v>710</v>
      </c>
      <c r="F91" t="s">
        <v>162</v>
      </c>
      <c r="G91" t="s">
        <v>163</v>
      </c>
      <c r="I91" t="s">
        <v>88</v>
      </c>
      <c r="J91" t="s">
        <v>118</v>
      </c>
      <c r="K91" s="1">
        <v>45779</v>
      </c>
    </row>
    <row r="92" spans="1:11" x14ac:dyDescent="0.3">
      <c r="A92" t="s">
        <v>254</v>
      </c>
      <c r="B92" s="1">
        <v>45768</v>
      </c>
      <c r="C92" t="s">
        <v>43</v>
      </c>
      <c r="D92" t="s">
        <v>161</v>
      </c>
      <c r="E92">
        <v>245</v>
      </c>
      <c r="F92" t="s">
        <v>162</v>
      </c>
      <c r="G92" t="s">
        <v>163</v>
      </c>
      <c r="I92" t="s">
        <v>78</v>
      </c>
      <c r="J92" t="s">
        <v>115</v>
      </c>
      <c r="K92" s="1">
        <v>45796</v>
      </c>
    </row>
    <row r="93" spans="1:11" x14ac:dyDescent="0.3">
      <c r="A93" t="s">
        <v>255</v>
      </c>
      <c r="B93" s="1">
        <v>45784</v>
      </c>
      <c r="C93" t="s">
        <v>43</v>
      </c>
      <c r="D93" t="s">
        <v>166</v>
      </c>
      <c r="E93">
        <v>319</v>
      </c>
      <c r="F93" t="s">
        <v>162</v>
      </c>
      <c r="G93" t="s">
        <v>163</v>
      </c>
      <c r="I93" t="s">
        <v>62</v>
      </c>
      <c r="J93" t="s">
        <v>118</v>
      </c>
      <c r="K93" s="1">
        <v>45761</v>
      </c>
    </row>
    <row r="94" spans="1:11" x14ac:dyDescent="0.3">
      <c r="A94" t="s">
        <v>256</v>
      </c>
      <c r="B94" s="1">
        <v>45775</v>
      </c>
      <c r="C94" t="s">
        <v>35</v>
      </c>
      <c r="D94" t="s">
        <v>161</v>
      </c>
      <c r="E94">
        <v>606</v>
      </c>
      <c r="F94" t="s">
        <v>162</v>
      </c>
      <c r="G94" t="s">
        <v>163</v>
      </c>
      <c r="I94" t="s">
        <v>48</v>
      </c>
      <c r="J94" t="s">
        <v>118</v>
      </c>
      <c r="K94" s="1">
        <v>45770</v>
      </c>
    </row>
    <row r="95" spans="1:11" x14ac:dyDescent="0.3">
      <c r="A95" t="s">
        <v>257</v>
      </c>
      <c r="B95" s="1">
        <v>45776</v>
      </c>
      <c r="C95" t="s">
        <v>32</v>
      </c>
      <c r="D95" t="s">
        <v>161</v>
      </c>
      <c r="E95">
        <v>944</v>
      </c>
      <c r="F95" t="s">
        <v>162</v>
      </c>
      <c r="G95" t="s">
        <v>163</v>
      </c>
      <c r="I95" t="s">
        <v>98</v>
      </c>
      <c r="J95" t="s">
        <v>139</v>
      </c>
      <c r="K95" s="1">
        <v>45783</v>
      </c>
    </row>
    <row r="96" spans="1:11" x14ac:dyDescent="0.3">
      <c r="A96" t="s">
        <v>258</v>
      </c>
      <c r="B96" s="1">
        <v>45754</v>
      </c>
      <c r="C96" t="s">
        <v>37</v>
      </c>
      <c r="D96" t="s">
        <v>161</v>
      </c>
      <c r="E96">
        <v>669</v>
      </c>
      <c r="F96" t="s">
        <v>162</v>
      </c>
      <c r="G96" t="s">
        <v>163</v>
      </c>
      <c r="I96" t="s">
        <v>86</v>
      </c>
      <c r="J96" t="s">
        <v>133</v>
      </c>
      <c r="K96" s="1">
        <v>45810</v>
      </c>
    </row>
    <row r="97" spans="1:11" x14ac:dyDescent="0.3">
      <c r="A97" t="s">
        <v>259</v>
      </c>
      <c r="B97" s="1">
        <v>45687</v>
      </c>
      <c r="C97" t="s">
        <v>29</v>
      </c>
      <c r="D97" t="s">
        <v>161</v>
      </c>
      <c r="E97">
        <v>683</v>
      </c>
      <c r="F97" t="s">
        <v>162</v>
      </c>
      <c r="G97" t="s">
        <v>163</v>
      </c>
      <c r="I97" t="s">
        <v>48</v>
      </c>
      <c r="J97" t="s">
        <v>124</v>
      </c>
      <c r="K97" s="1">
        <v>45698</v>
      </c>
    </row>
    <row r="98" spans="1:11" x14ac:dyDescent="0.3">
      <c r="A98" t="s">
        <v>260</v>
      </c>
      <c r="B98" s="1">
        <v>45756</v>
      </c>
      <c r="C98" t="s">
        <v>29</v>
      </c>
      <c r="D98" t="s">
        <v>161</v>
      </c>
      <c r="E98">
        <v>970</v>
      </c>
      <c r="F98" t="s">
        <v>162</v>
      </c>
      <c r="G98" t="s">
        <v>163</v>
      </c>
      <c r="I98" t="s">
        <v>70</v>
      </c>
      <c r="J98" t="s">
        <v>115</v>
      </c>
      <c r="K98" s="1">
        <v>45817</v>
      </c>
    </row>
    <row r="99" spans="1:11" x14ac:dyDescent="0.3">
      <c r="A99" t="s">
        <v>261</v>
      </c>
      <c r="B99" s="1">
        <v>45701</v>
      </c>
      <c r="C99" t="s">
        <v>35</v>
      </c>
      <c r="D99" t="s">
        <v>166</v>
      </c>
      <c r="E99">
        <v>170</v>
      </c>
      <c r="F99" t="s">
        <v>162</v>
      </c>
      <c r="G99" t="s">
        <v>163</v>
      </c>
      <c r="I99" t="s">
        <v>106</v>
      </c>
      <c r="J99" t="s">
        <v>121</v>
      </c>
      <c r="K99" s="1">
        <v>45673</v>
      </c>
    </row>
    <row r="100" spans="1:11" x14ac:dyDescent="0.3">
      <c r="A100" t="s">
        <v>262</v>
      </c>
      <c r="B100" s="1">
        <v>45705</v>
      </c>
      <c r="C100" t="s">
        <v>27</v>
      </c>
      <c r="D100" t="s">
        <v>161</v>
      </c>
      <c r="E100">
        <v>608</v>
      </c>
      <c r="F100" t="s">
        <v>162</v>
      </c>
      <c r="G100" t="s">
        <v>163</v>
      </c>
      <c r="I100" t="s">
        <v>100</v>
      </c>
      <c r="J100" t="s">
        <v>133</v>
      </c>
      <c r="K100" s="1">
        <v>45700</v>
      </c>
    </row>
    <row r="101" spans="1:11" x14ac:dyDescent="0.3">
      <c r="A101" t="s">
        <v>263</v>
      </c>
      <c r="B101" s="1">
        <v>45712</v>
      </c>
      <c r="C101" t="s">
        <v>27</v>
      </c>
      <c r="D101" t="s">
        <v>166</v>
      </c>
      <c r="E101">
        <v>198</v>
      </c>
      <c r="F101" t="s">
        <v>162</v>
      </c>
      <c r="G101" t="s">
        <v>163</v>
      </c>
      <c r="I101" t="s">
        <v>57</v>
      </c>
      <c r="J101" t="s">
        <v>130</v>
      </c>
      <c r="K101" s="1">
        <v>45723</v>
      </c>
    </row>
    <row r="102" spans="1:11" x14ac:dyDescent="0.3">
      <c r="A102" t="s">
        <v>264</v>
      </c>
      <c r="B102" s="1">
        <v>45737</v>
      </c>
      <c r="C102" t="s">
        <v>41</v>
      </c>
      <c r="D102" t="s">
        <v>166</v>
      </c>
      <c r="E102">
        <v>717</v>
      </c>
      <c r="F102" t="s">
        <v>162</v>
      </c>
      <c r="G102" t="s">
        <v>163</v>
      </c>
      <c r="I102" t="s">
        <v>100</v>
      </c>
      <c r="J102" t="s">
        <v>118</v>
      </c>
      <c r="K102" s="1">
        <v>45698</v>
      </c>
    </row>
    <row r="103" spans="1:11" x14ac:dyDescent="0.3">
      <c r="A103" t="s">
        <v>265</v>
      </c>
      <c r="B103" s="1">
        <v>45729</v>
      </c>
      <c r="C103" t="s">
        <v>32</v>
      </c>
      <c r="D103" t="s">
        <v>166</v>
      </c>
      <c r="E103">
        <v>891</v>
      </c>
      <c r="F103" t="s">
        <v>162</v>
      </c>
      <c r="G103" t="s">
        <v>163</v>
      </c>
      <c r="I103" t="s">
        <v>110</v>
      </c>
      <c r="J103" t="s">
        <v>121</v>
      </c>
      <c r="K103" s="1">
        <v>45826</v>
      </c>
    </row>
    <row r="104" spans="1:11" x14ac:dyDescent="0.3">
      <c r="A104" t="s">
        <v>266</v>
      </c>
      <c r="B104" s="1">
        <v>45763</v>
      </c>
      <c r="C104" t="s">
        <v>43</v>
      </c>
      <c r="D104" t="s">
        <v>166</v>
      </c>
      <c r="E104">
        <v>307</v>
      </c>
      <c r="F104" t="s">
        <v>162</v>
      </c>
      <c r="G104" t="s">
        <v>163</v>
      </c>
      <c r="I104" t="s">
        <v>74</v>
      </c>
      <c r="J104" t="s">
        <v>127</v>
      </c>
      <c r="K104" s="1">
        <v>45764</v>
      </c>
    </row>
    <row r="105" spans="1:11" x14ac:dyDescent="0.3">
      <c r="A105" t="s">
        <v>267</v>
      </c>
      <c r="B105" s="1">
        <v>45691</v>
      </c>
      <c r="C105" t="s">
        <v>39</v>
      </c>
      <c r="D105" t="s">
        <v>161</v>
      </c>
      <c r="E105">
        <v>393</v>
      </c>
      <c r="F105" t="s">
        <v>162</v>
      </c>
      <c r="G105" t="s">
        <v>163</v>
      </c>
      <c r="I105" t="s">
        <v>94</v>
      </c>
      <c r="J105" t="s">
        <v>115</v>
      </c>
      <c r="K105" s="1">
        <v>45831</v>
      </c>
    </row>
    <row r="106" spans="1:11" x14ac:dyDescent="0.3">
      <c r="A106" t="s">
        <v>268</v>
      </c>
      <c r="B106" s="1">
        <v>45699</v>
      </c>
      <c r="C106" t="s">
        <v>43</v>
      </c>
      <c r="D106" t="s">
        <v>161</v>
      </c>
      <c r="E106">
        <v>998</v>
      </c>
      <c r="F106" t="s">
        <v>162</v>
      </c>
      <c r="G106" t="s">
        <v>163</v>
      </c>
      <c r="I106" t="s">
        <v>51</v>
      </c>
      <c r="J106" t="s">
        <v>142</v>
      </c>
      <c r="K106" s="1">
        <v>45681</v>
      </c>
    </row>
    <row r="107" spans="1:11" x14ac:dyDescent="0.3">
      <c r="A107" t="s">
        <v>269</v>
      </c>
      <c r="B107" s="1">
        <v>45709</v>
      </c>
      <c r="C107" t="s">
        <v>37</v>
      </c>
      <c r="D107" t="s">
        <v>166</v>
      </c>
      <c r="E107">
        <v>407</v>
      </c>
      <c r="F107" t="s">
        <v>162</v>
      </c>
      <c r="G107" t="s">
        <v>163</v>
      </c>
      <c r="I107" t="s">
        <v>66</v>
      </c>
      <c r="J107" t="s">
        <v>133</v>
      </c>
      <c r="K107" s="1">
        <v>45771</v>
      </c>
    </row>
    <row r="108" spans="1:11" x14ac:dyDescent="0.3">
      <c r="A108" t="s">
        <v>270</v>
      </c>
      <c r="B108" s="1">
        <v>45736</v>
      </c>
      <c r="C108" t="s">
        <v>32</v>
      </c>
      <c r="D108" t="s">
        <v>166</v>
      </c>
      <c r="E108">
        <v>949</v>
      </c>
      <c r="F108" t="s">
        <v>162</v>
      </c>
      <c r="G108" t="s">
        <v>163</v>
      </c>
      <c r="I108" t="s">
        <v>72</v>
      </c>
      <c r="J108" t="s">
        <v>130</v>
      </c>
      <c r="K108" s="1">
        <v>45819</v>
      </c>
    </row>
    <row r="109" spans="1:11" x14ac:dyDescent="0.3">
      <c r="A109" t="s">
        <v>271</v>
      </c>
      <c r="B109" s="1">
        <v>45748</v>
      </c>
      <c r="C109" t="s">
        <v>29</v>
      </c>
      <c r="D109" t="s">
        <v>161</v>
      </c>
      <c r="E109">
        <v>621</v>
      </c>
      <c r="F109" t="s">
        <v>162</v>
      </c>
      <c r="G109" t="s">
        <v>163</v>
      </c>
      <c r="I109" t="s">
        <v>82</v>
      </c>
      <c r="J109" t="s">
        <v>133</v>
      </c>
      <c r="K109" s="1">
        <v>45671</v>
      </c>
    </row>
    <row r="110" spans="1:11" x14ac:dyDescent="0.3">
      <c r="A110" t="s">
        <v>272</v>
      </c>
      <c r="B110" s="1">
        <v>45756</v>
      </c>
      <c r="C110" t="s">
        <v>37</v>
      </c>
      <c r="D110" t="s">
        <v>166</v>
      </c>
      <c r="E110">
        <v>117</v>
      </c>
      <c r="F110" t="s">
        <v>162</v>
      </c>
      <c r="G110" t="s">
        <v>163</v>
      </c>
      <c r="I110" t="s">
        <v>82</v>
      </c>
      <c r="J110" t="s">
        <v>127</v>
      </c>
      <c r="K110" s="1">
        <v>45821</v>
      </c>
    </row>
    <row r="111" spans="1:11" x14ac:dyDescent="0.3">
      <c r="A111" t="s">
        <v>273</v>
      </c>
      <c r="B111" s="1">
        <v>45832</v>
      </c>
      <c r="C111" t="s">
        <v>39</v>
      </c>
      <c r="D111" t="s">
        <v>166</v>
      </c>
      <c r="E111">
        <v>90</v>
      </c>
      <c r="F111" t="s">
        <v>162</v>
      </c>
      <c r="G111" t="s">
        <v>163</v>
      </c>
      <c r="I111" t="s">
        <v>62</v>
      </c>
      <c r="J111" t="s">
        <v>121</v>
      </c>
      <c r="K111" s="1">
        <v>45740</v>
      </c>
    </row>
    <row r="112" spans="1:11" x14ac:dyDescent="0.3">
      <c r="A112" t="s">
        <v>274</v>
      </c>
      <c r="B112" s="1">
        <v>45737</v>
      </c>
      <c r="C112" t="s">
        <v>37</v>
      </c>
      <c r="D112" t="s">
        <v>161</v>
      </c>
      <c r="E112">
        <v>207</v>
      </c>
      <c r="F112" t="s">
        <v>162</v>
      </c>
      <c r="G112" t="s">
        <v>163</v>
      </c>
      <c r="I112" t="s">
        <v>70</v>
      </c>
      <c r="J112" t="s">
        <v>121</v>
      </c>
      <c r="K112" s="1">
        <v>45658</v>
      </c>
    </row>
    <row r="113" spans="1:11" x14ac:dyDescent="0.3">
      <c r="A113" t="s">
        <v>275</v>
      </c>
      <c r="B113" s="1">
        <v>45694</v>
      </c>
      <c r="C113" t="s">
        <v>35</v>
      </c>
      <c r="D113" t="s">
        <v>166</v>
      </c>
      <c r="E113">
        <v>803</v>
      </c>
      <c r="F113" t="s">
        <v>162</v>
      </c>
      <c r="G113" t="s">
        <v>163</v>
      </c>
      <c r="I113" t="s">
        <v>86</v>
      </c>
      <c r="J113" t="s">
        <v>136</v>
      </c>
      <c r="K113" s="1">
        <v>45832</v>
      </c>
    </row>
    <row r="114" spans="1:11" x14ac:dyDescent="0.3">
      <c r="A114" t="s">
        <v>276</v>
      </c>
      <c r="B114" s="1">
        <v>45754</v>
      </c>
      <c r="C114" t="s">
        <v>39</v>
      </c>
      <c r="D114" t="s">
        <v>161</v>
      </c>
      <c r="E114">
        <v>838</v>
      </c>
      <c r="F114" t="s">
        <v>162</v>
      </c>
      <c r="G114" t="s">
        <v>163</v>
      </c>
      <c r="I114" t="s">
        <v>72</v>
      </c>
      <c r="J114" t="s">
        <v>136</v>
      </c>
      <c r="K114" s="1">
        <v>45772</v>
      </c>
    </row>
    <row r="115" spans="1:11" x14ac:dyDescent="0.3">
      <c r="A115" t="s">
        <v>277</v>
      </c>
      <c r="B115" s="1">
        <v>45750</v>
      </c>
      <c r="C115" t="s">
        <v>35</v>
      </c>
      <c r="D115" t="s">
        <v>166</v>
      </c>
      <c r="E115">
        <v>864</v>
      </c>
      <c r="F115" t="s">
        <v>162</v>
      </c>
      <c r="G115" t="s">
        <v>163</v>
      </c>
      <c r="I115" t="s">
        <v>94</v>
      </c>
      <c r="J115" t="s">
        <v>136</v>
      </c>
      <c r="K115" s="1">
        <v>45706</v>
      </c>
    </row>
    <row r="116" spans="1:11" x14ac:dyDescent="0.3">
      <c r="A116" t="s">
        <v>278</v>
      </c>
      <c r="B116" s="1">
        <v>45660</v>
      </c>
      <c r="C116" t="s">
        <v>39</v>
      </c>
      <c r="D116" t="s">
        <v>161</v>
      </c>
      <c r="E116">
        <v>323</v>
      </c>
      <c r="F116" t="s">
        <v>162</v>
      </c>
      <c r="G116" t="s">
        <v>163</v>
      </c>
      <c r="I116" t="s">
        <v>66</v>
      </c>
      <c r="J116" t="s">
        <v>136</v>
      </c>
      <c r="K116" s="1">
        <v>45723</v>
      </c>
    </row>
    <row r="117" spans="1:11" x14ac:dyDescent="0.3">
      <c r="A117" t="s">
        <v>279</v>
      </c>
      <c r="B117" s="1">
        <v>45671</v>
      </c>
      <c r="C117" t="s">
        <v>29</v>
      </c>
      <c r="D117" t="s">
        <v>161</v>
      </c>
      <c r="E117">
        <v>592</v>
      </c>
      <c r="F117" t="s">
        <v>162</v>
      </c>
      <c r="G117" t="s">
        <v>163</v>
      </c>
      <c r="I117" t="s">
        <v>86</v>
      </c>
      <c r="J117" t="s">
        <v>136</v>
      </c>
      <c r="K117" s="1">
        <v>45792</v>
      </c>
    </row>
    <row r="118" spans="1:11" x14ac:dyDescent="0.3">
      <c r="A118" t="s">
        <v>280</v>
      </c>
      <c r="B118" s="1">
        <v>45792</v>
      </c>
      <c r="C118" t="s">
        <v>29</v>
      </c>
      <c r="D118" t="s">
        <v>166</v>
      </c>
      <c r="E118">
        <v>83</v>
      </c>
      <c r="F118" t="s">
        <v>162</v>
      </c>
      <c r="G118" t="s">
        <v>163</v>
      </c>
      <c r="I118" t="s">
        <v>94</v>
      </c>
      <c r="J118" t="s">
        <v>133</v>
      </c>
      <c r="K118" s="1">
        <v>45765</v>
      </c>
    </row>
    <row r="119" spans="1:11" x14ac:dyDescent="0.3">
      <c r="A119" t="s">
        <v>281</v>
      </c>
      <c r="B119" s="1">
        <v>45834</v>
      </c>
      <c r="C119" t="s">
        <v>41</v>
      </c>
      <c r="D119" t="s">
        <v>161</v>
      </c>
      <c r="E119">
        <v>301</v>
      </c>
      <c r="F119" t="s">
        <v>162</v>
      </c>
      <c r="G119" t="s">
        <v>163</v>
      </c>
      <c r="I119" t="s">
        <v>64</v>
      </c>
      <c r="J119" t="s">
        <v>127</v>
      </c>
      <c r="K119" s="1">
        <v>45667</v>
      </c>
    </row>
    <row r="120" spans="1:11" x14ac:dyDescent="0.3">
      <c r="A120" t="s">
        <v>282</v>
      </c>
      <c r="B120" s="1">
        <v>45761</v>
      </c>
      <c r="C120" t="s">
        <v>35</v>
      </c>
      <c r="D120" t="s">
        <v>161</v>
      </c>
      <c r="E120">
        <v>546</v>
      </c>
      <c r="F120" t="s">
        <v>162</v>
      </c>
      <c r="G120" t="s">
        <v>163</v>
      </c>
      <c r="I120" t="s">
        <v>72</v>
      </c>
      <c r="J120" t="s">
        <v>136</v>
      </c>
      <c r="K120" s="1">
        <v>45680</v>
      </c>
    </row>
    <row r="121" spans="1:11" x14ac:dyDescent="0.3">
      <c r="A121" t="s">
        <v>283</v>
      </c>
      <c r="B121" s="1">
        <v>45791</v>
      </c>
      <c r="C121" t="s">
        <v>32</v>
      </c>
      <c r="D121" t="s">
        <v>166</v>
      </c>
      <c r="E121">
        <v>898</v>
      </c>
      <c r="F121" t="s">
        <v>162</v>
      </c>
      <c r="G121" t="s">
        <v>163</v>
      </c>
      <c r="I121" t="s">
        <v>60</v>
      </c>
      <c r="J121" t="s">
        <v>127</v>
      </c>
      <c r="K121" s="1">
        <v>45834</v>
      </c>
    </row>
    <row r="122" spans="1:11" x14ac:dyDescent="0.3">
      <c r="A122" t="s">
        <v>284</v>
      </c>
      <c r="B122" s="1">
        <v>45727</v>
      </c>
      <c r="C122" t="s">
        <v>32</v>
      </c>
      <c r="D122" t="s">
        <v>161</v>
      </c>
      <c r="E122">
        <v>377</v>
      </c>
      <c r="F122" t="s">
        <v>162</v>
      </c>
      <c r="G122" t="s">
        <v>163</v>
      </c>
      <c r="I122" t="s">
        <v>74</v>
      </c>
      <c r="J122" t="s">
        <v>124</v>
      </c>
      <c r="K122" s="1">
        <v>45826</v>
      </c>
    </row>
    <row r="123" spans="1:11" x14ac:dyDescent="0.3">
      <c r="A123" t="s">
        <v>285</v>
      </c>
      <c r="B123" s="1">
        <v>45681</v>
      </c>
      <c r="C123" t="s">
        <v>41</v>
      </c>
      <c r="D123" t="s">
        <v>161</v>
      </c>
      <c r="E123">
        <v>563</v>
      </c>
      <c r="F123" t="s">
        <v>162</v>
      </c>
      <c r="G123" t="s">
        <v>163</v>
      </c>
      <c r="I123" t="s">
        <v>62</v>
      </c>
      <c r="J123" t="s">
        <v>115</v>
      </c>
      <c r="K123" s="1">
        <v>45742</v>
      </c>
    </row>
    <row r="124" spans="1:11" x14ac:dyDescent="0.3">
      <c r="A124" t="s">
        <v>286</v>
      </c>
      <c r="B124" s="1">
        <v>45677</v>
      </c>
      <c r="C124" t="s">
        <v>32</v>
      </c>
      <c r="D124" t="s">
        <v>166</v>
      </c>
      <c r="E124">
        <v>442</v>
      </c>
      <c r="F124" t="s">
        <v>162</v>
      </c>
      <c r="G124" t="s">
        <v>163</v>
      </c>
      <c r="I124" t="s">
        <v>62</v>
      </c>
      <c r="J124" t="s">
        <v>121</v>
      </c>
      <c r="K124" s="1">
        <v>45691</v>
      </c>
    </row>
    <row r="125" spans="1:11" x14ac:dyDescent="0.3">
      <c r="A125" t="s">
        <v>287</v>
      </c>
      <c r="B125" s="1">
        <v>45678</v>
      </c>
      <c r="C125" t="s">
        <v>29</v>
      </c>
      <c r="D125" t="s">
        <v>166</v>
      </c>
      <c r="E125">
        <v>997</v>
      </c>
      <c r="F125" t="s">
        <v>162</v>
      </c>
      <c r="G125" t="s">
        <v>163</v>
      </c>
      <c r="I125" t="s">
        <v>78</v>
      </c>
      <c r="J125" t="s">
        <v>121</v>
      </c>
      <c r="K125" s="1">
        <v>45804</v>
      </c>
    </row>
    <row r="126" spans="1:11" x14ac:dyDescent="0.3">
      <c r="A126" t="s">
        <v>288</v>
      </c>
      <c r="B126" s="1">
        <v>45785</v>
      </c>
      <c r="C126" t="s">
        <v>29</v>
      </c>
      <c r="D126" t="s">
        <v>161</v>
      </c>
      <c r="E126">
        <v>442</v>
      </c>
      <c r="F126" t="s">
        <v>162</v>
      </c>
      <c r="G126" t="s">
        <v>163</v>
      </c>
      <c r="I126" t="s">
        <v>92</v>
      </c>
      <c r="J126" t="s">
        <v>118</v>
      </c>
      <c r="K126" s="1">
        <v>45680</v>
      </c>
    </row>
    <row r="127" spans="1:11" x14ac:dyDescent="0.3">
      <c r="A127" t="s">
        <v>289</v>
      </c>
      <c r="B127" s="1">
        <v>45744</v>
      </c>
      <c r="C127" t="s">
        <v>37</v>
      </c>
      <c r="D127" t="s">
        <v>161</v>
      </c>
      <c r="E127">
        <v>652</v>
      </c>
      <c r="F127" t="s">
        <v>162</v>
      </c>
      <c r="G127" t="s">
        <v>163</v>
      </c>
      <c r="I127" t="s">
        <v>102</v>
      </c>
      <c r="J127" t="s">
        <v>142</v>
      </c>
      <c r="K127" s="1">
        <v>45673</v>
      </c>
    </row>
    <row r="128" spans="1:11" x14ac:dyDescent="0.3">
      <c r="A128" t="s">
        <v>290</v>
      </c>
      <c r="B128" s="1">
        <v>45666</v>
      </c>
      <c r="C128" t="s">
        <v>37</v>
      </c>
      <c r="D128" t="s">
        <v>166</v>
      </c>
      <c r="E128">
        <v>55</v>
      </c>
      <c r="F128" t="s">
        <v>162</v>
      </c>
      <c r="G128" t="s">
        <v>163</v>
      </c>
      <c r="I128" t="s">
        <v>84</v>
      </c>
      <c r="J128" t="s">
        <v>133</v>
      </c>
      <c r="K128" s="1">
        <v>45664</v>
      </c>
    </row>
    <row r="129" spans="1:11" x14ac:dyDescent="0.3">
      <c r="A129" t="s">
        <v>291</v>
      </c>
      <c r="B129" s="1">
        <v>45821</v>
      </c>
      <c r="C129" t="s">
        <v>43</v>
      </c>
      <c r="D129" t="s">
        <v>166</v>
      </c>
      <c r="E129">
        <v>473</v>
      </c>
      <c r="F129" t="s">
        <v>162</v>
      </c>
      <c r="G129" t="s">
        <v>163</v>
      </c>
      <c r="I129" t="s">
        <v>76</v>
      </c>
      <c r="J129" t="s">
        <v>127</v>
      </c>
      <c r="K129" s="1">
        <v>45677</v>
      </c>
    </row>
    <row r="130" spans="1:11" x14ac:dyDescent="0.3">
      <c r="A130" t="s">
        <v>292</v>
      </c>
      <c r="B130" s="1">
        <v>45765</v>
      </c>
      <c r="C130" t="s">
        <v>41</v>
      </c>
      <c r="D130" t="s">
        <v>161</v>
      </c>
      <c r="E130">
        <v>820</v>
      </c>
      <c r="F130" t="s">
        <v>162</v>
      </c>
      <c r="G130" t="s">
        <v>163</v>
      </c>
      <c r="I130" t="s">
        <v>54</v>
      </c>
      <c r="J130" t="s">
        <v>142</v>
      </c>
      <c r="K130" s="1">
        <v>45821</v>
      </c>
    </row>
    <row r="131" spans="1:11" x14ac:dyDescent="0.3">
      <c r="A131" t="s">
        <v>293</v>
      </c>
      <c r="B131" s="1">
        <v>45751</v>
      </c>
      <c r="C131" t="s">
        <v>32</v>
      </c>
      <c r="D131" t="s">
        <v>161</v>
      </c>
      <c r="E131">
        <v>774</v>
      </c>
      <c r="F131" t="s">
        <v>162</v>
      </c>
      <c r="G131" t="s">
        <v>163</v>
      </c>
      <c r="I131" t="s">
        <v>86</v>
      </c>
      <c r="J131" t="s">
        <v>118</v>
      </c>
      <c r="K131" s="1">
        <v>45664</v>
      </c>
    </row>
    <row r="132" spans="1:11" x14ac:dyDescent="0.3">
      <c r="A132" t="s">
        <v>294</v>
      </c>
      <c r="B132" s="1">
        <v>45719</v>
      </c>
      <c r="C132" t="s">
        <v>43</v>
      </c>
      <c r="D132" t="s">
        <v>161</v>
      </c>
      <c r="E132">
        <v>938</v>
      </c>
      <c r="F132" t="s">
        <v>162</v>
      </c>
      <c r="G132" t="s">
        <v>163</v>
      </c>
      <c r="I132" t="s">
        <v>66</v>
      </c>
      <c r="J132" t="s">
        <v>136</v>
      </c>
      <c r="K132" s="1">
        <v>45672</v>
      </c>
    </row>
    <row r="133" spans="1:11" x14ac:dyDescent="0.3">
      <c r="A133" t="s">
        <v>295</v>
      </c>
      <c r="B133" s="1">
        <v>45778</v>
      </c>
      <c r="C133" t="s">
        <v>27</v>
      </c>
      <c r="D133" t="s">
        <v>161</v>
      </c>
      <c r="E133">
        <v>88</v>
      </c>
      <c r="F133" t="s">
        <v>162</v>
      </c>
      <c r="G133" t="s">
        <v>163</v>
      </c>
      <c r="I133" t="s">
        <v>66</v>
      </c>
      <c r="J133" t="s">
        <v>118</v>
      </c>
      <c r="K133" s="1">
        <v>45776</v>
      </c>
    </row>
    <row r="134" spans="1:11" x14ac:dyDescent="0.3">
      <c r="A134" t="s">
        <v>296</v>
      </c>
      <c r="B134" s="1">
        <v>45673</v>
      </c>
      <c r="C134" t="s">
        <v>41</v>
      </c>
      <c r="D134" t="s">
        <v>161</v>
      </c>
      <c r="E134">
        <v>817</v>
      </c>
      <c r="F134" t="s">
        <v>162</v>
      </c>
      <c r="G134" t="s">
        <v>163</v>
      </c>
      <c r="I134" t="s">
        <v>70</v>
      </c>
      <c r="J134" t="s">
        <v>118</v>
      </c>
      <c r="K134" s="1">
        <v>45727</v>
      </c>
    </row>
    <row r="135" spans="1:11" x14ac:dyDescent="0.3">
      <c r="A135" t="s">
        <v>297</v>
      </c>
      <c r="B135" s="1">
        <v>45673</v>
      </c>
      <c r="C135" t="s">
        <v>35</v>
      </c>
      <c r="D135" t="s">
        <v>166</v>
      </c>
      <c r="E135">
        <v>189</v>
      </c>
      <c r="F135" t="s">
        <v>162</v>
      </c>
      <c r="G135" t="s">
        <v>163</v>
      </c>
      <c r="I135" t="s">
        <v>82</v>
      </c>
      <c r="J135" t="s">
        <v>142</v>
      </c>
      <c r="K135" s="1">
        <v>45761</v>
      </c>
    </row>
    <row r="136" spans="1:11" x14ac:dyDescent="0.3">
      <c r="A136" t="s">
        <v>298</v>
      </c>
      <c r="B136" s="1">
        <v>45723</v>
      </c>
      <c r="C136" t="s">
        <v>29</v>
      </c>
      <c r="D136" t="s">
        <v>161</v>
      </c>
      <c r="E136">
        <v>28</v>
      </c>
      <c r="F136" t="s">
        <v>162</v>
      </c>
      <c r="G136" t="s">
        <v>163</v>
      </c>
      <c r="I136" t="s">
        <v>64</v>
      </c>
      <c r="J136" t="s">
        <v>136</v>
      </c>
      <c r="K136" s="1">
        <v>45811</v>
      </c>
    </row>
    <row r="137" spans="1:11" x14ac:dyDescent="0.3">
      <c r="A137" t="s">
        <v>299</v>
      </c>
      <c r="B137" s="1">
        <v>45827</v>
      </c>
      <c r="C137" t="s">
        <v>41</v>
      </c>
      <c r="D137" t="s">
        <v>161</v>
      </c>
      <c r="E137">
        <v>590</v>
      </c>
      <c r="F137" t="s">
        <v>162</v>
      </c>
      <c r="G137" t="s">
        <v>163</v>
      </c>
      <c r="I137" t="s">
        <v>88</v>
      </c>
      <c r="J137" t="s">
        <v>130</v>
      </c>
      <c r="K137" s="1">
        <v>45832</v>
      </c>
    </row>
    <row r="138" spans="1:11" x14ac:dyDescent="0.3">
      <c r="A138" t="s">
        <v>300</v>
      </c>
      <c r="B138" s="1">
        <v>45680</v>
      </c>
      <c r="C138" t="s">
        <v>43</v>
      </c>
      <c r="D138" t="s">
        <v>161</v>
      </c>
      <c r="E138">
        <v>163</v>
      </c>
      <c r="F138" t="s">
        <v>162</v>
      </c>
      <c r="G138" t="s">
        <v>163</v>
      </c>
      <c r="I138" t="s">
        <v>88</v>
      </c>
      <c r="J138" t="s">
        <v>139</v>
      </c>
      <c r="K138" s="1">
        <v>45730</v>
      </c>
    </row>
    <row r="139" spans="1:11" x14ac:dyDescent="0.3">
      <c r="A139" t="s">
        <v>301</v>
      </c>
      <c r="B139" s="1">
        <v>45677</v>
      </c>
      <c r="C139" t="s">
        <v>32</v>
      </c>
      <c r="D139" t="s">
        <v>166</v>
      </c>
      <c r="E139">
        <v>787</v>
      </c>
      <c r="F139" t="s">
        <v>162</v>
      </c>
      <c r="G139" t="s">
        <v>163</v>
      </c>
      <c r="I139" t="s">
        <v>57</v>
      </c>
      <c r="J139" t="s">
        <v>133</v>
      </c>
      <c r="K139" s="1">
        <v>45818</v>
      </c>
    </row>
    <row r="140" spans="1:11" x14ac:dyDescent="0.3">
      <c r="A140" t="s">
        <v>302</v>
      </c>
      <c r="B140" s="1">
        <v>45818</v>
      </c>
      <c r="C140" t="s">
        <v>29</v>
      </c>
      <c r="D140" t="s">
        <v>161</v>
      </c>
      <c r="E140">
        <v>778</v>
      </c>
      <c r="F140" t="s">
        <v>162</v>
      </c>
      <c r="G140" t="s">
        <v>163</v>
      </c>
      <c r="I140" t="s">
        <v>96</v>
      </c>
      <c r="J140" t="s">
        <v>127</v>
      </c>
      <c r="K140" s="1">
        <v>45826</v>
      </c>
    </row>
    <row r="141" spans="1:11" x14ac:dyDescent="0.3">
      <c r="A141" t="s">
        <v>303</v>
      </c>
      <c r="B141" s="1">
        <v>45771</v>
      </c>
      <c r="C141" t="s">
        <v>27</v>
      </c>
      <c r="D141" t="s">
        <v>166</v>
      </c>
      <c r="E141">
        <v>206</v>
      </c>
      <c r="F141" t="s">
        <v>162</v>
      </c>
      <c r="G141" t="s">
        <v>163</v>
      </c>
      <c r="I141" t="s">
        <v>90</v>
      </c>
      <c r="J141" t="s">
        <v>124</v>
      </c>
      <c r="K141" s="1">
        <v>45720</v>
      </c>
    </row>
    <row r="142" spans="1:11" x14ac:dyDescent="0.3">
      <c r="A142" t="s">
        <v>304</v>
      </c>
      <c r="B142" s="1">
        <v>45832</v>
      </c>
      <c r="C142" t="s">
        <v>37</v>
      </c>
      <c r="D142" t="s">
        <v>166</v>
      </c>
      <c r="E142">
        <v>316</v>
      </c>
      <c r="F142" t="s">
        <v>162</v>
      </c>
      <c r="G142" t="s">
        <v>163</v>
      </c>
      <c r="I142" t="s">
        <v>74</v>
      </c>
      <c r="J142" t="s">
        <v>127</v>
      </c>
      <c r="K142" s="1">
        <v>45658</v>
      </c>
    </row>
    <row r="143" spans="1:11" x14ac:dyDescent="0.3">
      <c r="A143" t="s">
        <v>305</v>
      </c>
      <c r="B143" s="1">
        <v>45671</v>
      </c>
      <c r="C143" t="s">
        <v>37</v>
      </c>
      <c r="D143" t="s">
        <v>161</v>
      </c>
      <c r="E143">
        <v>478</v>
      </c>
      <c r="F143" t="s">
        <v>162</v>
      </c>
      <c r="G143" t="s">
        <v>163</v>
      </c>
      <c r="I143" t="s">
        <v>76</v>
      </c>
      <c r="J143" t="s">
        <v>124</v>
      </c>
      <c r="K143" s="1">
        <v>45735</v>
      </c>
    </row>
    <row r="144" spans="1:11" x14ac:dyDescent="0.3">
      <c r="A144" t="s">
        <v>306</v>
      </c>
      <c r="B144" s="1">
        <v>45777</v>
      </c>
      <c r="C144" t="s">
        <v>35</v>
      </c>
      <c r="D144" t="s">
        <v>161</v>
      </c>
      <c r="E144">
        <v>670</v>
      </c>
      <c r="F144" t="s">
        <v>162</v>
      </c>
      <c r="G144" t="s">
        <v>163</v>
      </c>
      <c r="I144" t="s">
        <v>48</v>
      </c>
      <c r="J144" t="s">
        <v>127</v>
      </c>
      <c r="K144" s="1">
        <v>45764</v>
      </c>
    </row>
    <row r="145" spans="1:11" x14ac:dyDescent="0.3">
      <c r="A145" t="s">
        <v>307</v>
      </c>
      <c r="B145" s="1">
        <v>45761</v>
      </c>
      <c r="C145" t="s">
        <v>32</v>
      </c>
      <c r="D145" t="s">
        <v>166</v>
      </c>
      <c r="E145">
        <v>384</v>
      </c>
      <c r="F145" t="s">
        <v>162</v>
      </c>
      <c r="G145" t="s">
        <v>163</v>
      </c>
      <c r="I145" t="s">
        <v>78</v>
      </c>
      <c r="J145" t="s">
        <v>115</v>
      </c>
      <c r="K145" s="1">
        <v>45727</v>
      </c>
    </row>
    <row r="146" spans="1:11" x14ac:dyDescent="0.3">
      <c r="A146" t="s">
        <v>308</v>
      </c>
      <c r="B146" s="1">
        <v>45728</v>
      </c>
      <c r="C146" t="s">
        <v>37</v>
      </c>
      <c r="D146" t="s">
        <v>166</v>
      </c>
      <c r="E146">
        <v>275</v>
      </c>
      <c r="F146" t="s">
        <v>162</v>
      </c>
      <c r="G146" t="s">
        <v>163</v>
      </c>
      <c r="I146" t="s">
        <v>84</v>
      </c>
      <c r="J146" t="s">
        <v>121</v>
      </c>
      <c r="K146" s="1">
        <v>45733</v>
      </c>
    </row>
    <row r="147" spans="1:11" x14ac:dyDescent="0.3">
      <c r="A147" t="s">
        <v>309</v>
      </c>
      <c r="B147" s="1">
        <v>45736</v>
      </c>
      <c r="C147" t="s">
        <v>37</v>
      </c>
      <c r="D147" t="s">
        <v>166</v>
      </c>
      <c r="E147">
        <v>765</v>
      </c>
      <c r="F147" t="s">
        <v>162</v>
      </c>
      <c r="G147" t="s">
        <v>163</v>
      </c>
      <c r="I147" t="s">
        <v>106</v>
      </c>
      <c r="J147" t="s">
        <v>124</v>
      </c>
      <c r="K147" s="1">
        <v>45706</v>
      </c>
    </row>
    <row r="148" spans="1:11" x14ac:dyDescent="0.3">
      <c r="A148" t="s">
        <v>310</v>
      </c>
      <c r="B148" s="1">
        <v>45701</v>
      </c>
      <c r="C148" t="s">
        <v>35</v>
      </c>
      <c r="D148" t="s">
        <v>166</v>
      </c>
      <c r="E148">
        <v>755</v>
      </c>
      <c r="F148" t="s">
        <v>162</v>
      </c>
      <c r="G148" t="s">
        <v>163</v>
      </c>
      <c r="I148" t="s">
        <v>88</v>
      </c>
      <c r="J148" t="s">
        <v>133</v>
      </c>
      <c r="K148" s="1">
        <v>45771</v>
      </c>
    </row>
    <row r="149" spans="1:11" x14ac:dyDescent="0.3">
      <c r="A149" t="s">
        <v>311</v>
      </c>
      <c r="B149" s="1">
        <v>45702</v>
      </c>
      <c r="C149" t="s">
        <v>32</v>
      </c>
      <c r="D149" t="s">
        <v>166</v>
      </c>
      <c r="E149">
        <v>222</v>
      </c>
      <c r="F149" t="s">
        <v>162</v>
      </c>
      <c r="G149" t="s">
        <v>163</v>
      </c>
      <c r="I149" t="s">
        <v>94</v>
      </c>
      <c r="J149" t="s">
        <v>133</v>
      </c>
      <c r="K149" s="1">
        <v>45714</v>
      </c>
    </row>
    <row r="150" spans="1:11" x14ac:dyDescent="0.3">
      <c r="A150" t="s">
        <v>312</v>
      </c>
      <c r="B150" s="1">
        <v>45817</v>
      </c>
      <c r="C150" t="s">
        <v>39</v>
      </c>
      <c r="D150" t="s">
        <v>161</v>
      </c>
      <c r="E150">
        <v>767</v>
      </c>
      <c r="F150" t="s">
        <v>162</v>
      </c>
      <c r="G150" t="s">
        <v>163</v>
      </c>
      <c r="I150" t="s">
        <v>68</v>
      </c>
      <c r="J150" t="s">
        <v>118</v>
      </c>
      <c r="K150" s="1">
        <v>45776</v>
      </c>
    </row>
    <row r="151" spans="1:11" x14ac:dyDescent="0.3">
      <c r="A151" t="s">
        <v>313</v>
      </c>
      <c r="B151" s="1">
        <v>45674</v>
      </c>
      <c r="C151" t="s">
        <v>29</v>
      </c>
      <c r="D151" t="s">
        <v>161</v>
      </c>
      <c r="E151">
        <v>817</v>
      </c>
      <c r="F151" t="s">
        <v>162</v>
      </c>
      <c r="G151" t="s">
        <v>163</v>
      </c>
      <c r="I151" t="s">
        <v>74</v>
      </c>
      <c r="J151" t="s">
        <v>136</v>
      </c>
      <c r="K151" s="1">
        <v>45755</v>
      </c>
    </row>
    <row r="152" spans="1:11" x14ac:dyDescent="0.3">
      <c r="A152" t="s">
        <v>314</v>
      </c>
      <c r="B152" s="1">
        <v>45684</v>
      </c>
      <c r="C152" t="s">
        <v>35</v>
      </c>
      <c r="D152" t="s">
        <v>161</v>
      </c>
      <c r="E152">
        <v>963</v>
      </c>
      <c r="F152" t="s">
        <v>162</v>
      </c>
      <c r="G152" t="s">
        <v>163</v>
      </c>
      <c r="I152" t="s">
        <v>68</v>
      </c>
      <c r="J152" t="s">
        <v>133</v>
      </c>
      <c r="K152" s="1">
        <v>45695</v>
      </c>
    </row>
    <row r="153" spans="1:11" x14ac:dyDescent="0.3">
      <c r="A153" t="s">
        <v>315</v>
      </c>
      <c r="B153" s="1">
        <v>45813</v>
      </c>
      <c r="C153" t="s">
        <v>32</v>
      </c>
      <c r="D153" t="s">
        <v>161</v>
      </c>
      <c r="E153">
        <v>14</v>
      </c>
      <c r="F153" t="s">
        <v>162</v>
      </c>
      <c r="G153" t="s">
        <v>163</v>
      </c>
      <c r="I153" t="s">
        <v>100</v>
      </c>
      <c r="J153" t="s">
        <v>118</v>
      </c>
      <c r="K153" s="1">
        <v>45672</v>
      </c>
    </row>
    <row r="154" spans="1:11" x14ac:dyDescent="0.3">
      <c r="A154" t="s">
        <v>316</v>
      </c>
      <c r="B154" s="1">
        <v>45783</v>
      </c>
      <c r="C154" t="s">
        <v>43</v>
      </c>
      <c r="D154" t="s">
        <v>166</v>
      </c>
      <c r="E154">
        <v>625</v>
      </c>
      <c r="F154" t="s">
        <v>162</v>
      </c>
      <c r="G154" t="s">
        <v>163</v>
      </c>
      <c r="I154" t="s">
        <v>110</v>
      </c>
      <c r="J154" t="s">
        <v>133</v>
      </c>
      <c r="K154" s="1">
        <v>45771</v>
      </c>
    </row>
    <row r="155" spans="1:11" x14ac:dyDescent="0.3">
      <c r="A155" t="s">
        <v>317</v>
      </c>
      <c r="B155" s="1">
        <v>45659</v>
      </c>
      <c r="C155" t="s">
        <v>43</v>
      </c>
      <c r="D155" t="s">
        <v>161</v>
      </c>
      <c r="E155">
        <v>648</v>
      </c>
      <c r="F155" t="s">
        <v>162</v>
      </c>
      <c r="G155" t="s">
        <v>163</v>
      </c>
      <c r="I155" t="s">
        <v>60</v>
      </c>
      <c r="J155" t="s">
        <v>139</v>
      </c>
      <c r="K155" s="1">
        <v>45741</v>
      </c>
    </row>
    <row r="156" spans="1:11" x14ac:dyDescent="0.3">
      <c r="A156" t="s">
        <v>318</v>
      </c>
      <c r="B156" s="1">
        <v>45758</v>
      </c>
      <c r="C156" t="s">
        <v>27</v>
      </c>
      <c r="D156" t="s">
        <v>161</v>
      </c>
      <c r="E156">
        <v>553</v>
      </c>
      <c r="F156" t="s">
        <v>162</v>
      </c>
      <c r="G156" t="s">
        <v>163</v>
      </c>
      <c r="I156" t="s">
        <v>70</v>
      </c>
      <c r="J156" t="s">
        <v>124</v>
      </c>
      <c r="K156" s="1">
        <v>45694</v>
      </c>
    </row>
    <row r="157" spans="1:11" x14ac:dyDescent="0.3">
      <c r="A157" t="s">
        <v>319</v>
      </c>
      <c r="B157" s="1">
        <v>45805</v>
      </c>
      <c r="C157" t="s">
        <v>37</v>
      </c>
      <c r="D157" t="s">
        <v>161</v>
      </c>
      <c r="E157">
        <v>769</v>
      </c>
      <c r="F157" t="s">
        <v>162</v>
      </c>
      <c r="G157" t="s">
        <v>163</v>
      </c>
      <c r="I157" t="s">
        <v>62</v>
      </c>
      <c r="J157" t="s">
        <v>118</v>
      </c>
      <c r="K157" s="1">
        <v>45708</v>
      </c>
    </row>
    <row r="158" spans="1:11" x14ac:dyDescent="0.3">
      <c r="A158" t="s">
        <v>320</v>
      </c>
      <c r="B158" s="1">
        <v>45776</v>
      </c>
      <c r="C158" t="s">
        <v>39</v>
      </c>
      <c r="D158" t="s">
        <v>161</v>
      </c>
      <c r="E158">
        <v>719</v>
      </c>
      <c r="F158" t="s">
        <v>162</v>
      </c>
      <c r="G158" t="s">
        <v>163</v>
      </c>
      <c r="I158" t="s">
        <v>57</v>
      </c>
      <c r="J158" t="s">
        <v>142</v>
      </c>
      <c r="K158" s="1">
        <v>45775</v>
      </c>
    </row>
    <row r="159" spans="1:11" x14ac:dyDescent="0.3">
      <c r="A159" t="s">
        <v>321</v>
      </c>
      <c r="B159" s="1">
        <v>45828</v>
      </c>
      <c r="C159" t="s">
        <v>32</v>
      </c>
      <c r="D159" t="s">
        <v>161</v>
      </c>
      <c r="E159">
        <v>153</v>
      </c>
      <c r="F159" t="s">
        <v>162</v>
      </c>
      <c r="G159" t="s">
        <v>163</v>
      </c>
      <c r="I159" t="s">
        <v>72</v>
      </c>
      <c r="J159" t="s">
        <v>121</v>
      </c>
      <c r="K159" s="1">
        <v>45778</v>
      </c>
    </row>
    <row r="160" spans="1:11" x14ac:dyDescent="0.3">
      <c r="A160" t="s">
        <v>322</v>
      </c>
      <c r="B160" s="1">
        <v>45783</v>
      </c>
      <c r="C160" t="s">
        <v>35</v>
      </c>
      <c r="D160" t="s">
        <v>161</v>
      </c>
      <c r="E160">
        <v>366</v>
      </c>
      <c r="F160" t="s">
        <v>162</v>
      </c>
      <c r="G160" t="s">
        <v>163</v>
      </c>
      <c r="I160" t="s">
        <v>78</v>
      </c>
      <c r="J160" t="s">
        <v>139</v>
      </c>
      <c r="K160" s="1">
        <v>45659</v>
      </c>
    </row>
    <row r="161" spans="1:11" x14ac:dyDescent="0.3">
      <c r="A161" t="s">
        <v>323</v>
      </c>
      <c r="B161" s="1">
        <v>45764</v>
      </c>
      <c r="C161" t="s">
        <v>39</v>
      </c>
      <c r="D161" t="s">
        <v>161</v>
      </c>
      <c r="E161">
        <v>624</v>
      </c>
      <c r="F161" t="s">
        <v>162</v>
      </c>
      <c r="G161" t="s">
        <v>163</v>
      </c>
      <c r="I161" t="s">
        <v>78</v>
      </c>
      <c r="J161" t="s">
        <v>130</v>
      </c>
      <c r="K161" s="1">
        <v>45785</v>
      </c>
    </row>
    <row r="162" spans="1:11" x14ac:dyDescent="0.3">
      <c r="A162" t="s">
        <v>324</v>
      </c>
      <c r="B162" s="1">
        <v>45702</v>
      </c>
      <c r="C162" t="s">
        <v>29</v>
      </c>
      <c r="D162" t="s">
        <v>161</v>
      </c>
      <c r="E162">
        <v>80</v>
      </c>
      <c r="F162" t="s">
        <v>162</v>
      </c>
      <c r="G162" t="s">
        <v>163</v>
      </c>
      <c r="I162" t="s">
        <v>57</v>
      </c>
      <c r="J162" t="s">
        <v>139</v>
      </c>
      <c r="K162" s="1">
        <v>45671</v>
      </c>
    </row>
    <row r="163" spans="1:11" x14ac:dyDescent="0.3">
      <c r="A163" t="s">
        <v>325</v>
      </c>
      <c r="B163" s="1">
        <v>45664</v>
      </c>
      <c r="C163" t="s">
        <v>39</v>
      </c>
      <c r="D163" t="s">
        <v>161</v>
      </c>
      <c r="E163">
        <v>230</v>
      </c>
      <c r="F163" t="s">
        <v>162</v>
      </c>
      <c r="G163" t="s">
        <v>163</v>
      </c>
      <c r="I163" t="s">
        <v>74</v>
      </c>
      <c r="J163" t="s">
        <v>118</v>
      </c>
      <c r="K163" s="1">
        <v>45764</v>
      </c>
    </row>
    <row r="164" spans="1:11" x14ac:dyDescent="0.3">
      <c r="A164" t="s">
        <v>326</v>
      </c>
      <c r="B164" s="1">
        <v>45790</v>
      </c>
      <c r="C164" t="s">
        <v>37</v>
      </c>
      <c r="D164" t="s">
        <v>166</v>
      </c>
      <c r="E164">
        <v>923</v>
      </c>
      <c r="F164" t="s">
        <v>162</v>
      </c>
      <c r="G164" t="s">
        <v>163</v>
      </c>
      <c r="I164" t="s">
        <v>82</v>
      </c>
      <c r="J164" t="s">
        <v>118</v>
      </c>
      <c r="K164" s="1">
        <v>45824</v>
      </c>
    </row>
    <row r="165" spans="1:11" x14ac:dyDescent="0.3">
      <c r="A165" t="s">
        <v>327</v>
      </c>
      <c r="B165" s="1">
        <v>45742</v>
      </c>
      <c r="C165" t="s">
        <v>39</v>
      </c>
      <c r="D165" t="s">
        <v>161</v>
      </c>
      <c r="E165">
        <v>318</v>
      </c>
      <c r="F165" t="s">
        <v>162</v>
      </c>
      <c r="G165" t="s">
        <v>163</v>
      </c>
      <c r="I165" t="s">
        <v>64</v>
      </c>
      <c r="J165" t="s">
        <v>133</v>
      </c>
      <c r="K165" s="1">
        <v>45715</v>
      </c>
    </row>
    <row r="166" spans="1:11" x14ac:dyDescent="0.3">
      <c r="A166" t="s">
        <v>328</v>
      </c>
      <c r="B166" s="1">
        <v>45663</v>
      </c>
      <c r="C166" t="s">
        <v>43</v>
      </c>
      <c r="D166" t="s">
        <v>161</v>
      </c>
      <c r="E166">
        <v>870</v>
      </c>
      <c r="F166" t="s">
        <v>162</v>
      </c>
      <c r="G166" t="s">
        <v>163</v>
      </c>
      <c r="I166" t="s">
        <v>76</v>
      </c>
      <c r="J166" t="s">
        <v>130</v>
      </c>
      <c r="K166" s="1">
        <v>45751</v>
      </c>
    </row>
    <row r="167" spans="1:11" x14ac:dyDescent="0.3">
      <c r="A167" t="s">
        <v>329</v>
      </c>
      <c r="B167" s="1">
        <v>45658</v>
      </c>
      <c r="C167" t="s">
        <v>39</v>
      </c>
      <c r="D167" t="s">
        <v>166</v>
      </c>
      <c r="E167">
        <v>176</v>
      </c>
      <c r="F167" t="s">
        <v>162</v>
      </c>
      <c r="G167" t="s">
        <v>163</v>
      </c>
      <c r="I167" t="s">
        <v>96</v>
      </c>
      <c r="J167" t="s">
        <v>130</v>
      </c>
      <c r="K167" s="1">
        <v>45734</v>
      </c>
    </row>
    <row r="168" spans="1:11" x14ac:dyDescent="0.3">
      <c r="A168" t="s">
        <v>330</v>
      </c>
      <c r="B168" s="1">
        <v>45783</v>
      </c>
      <c r="C168" t="s">
        <v>35</v>
      </c>
      <c r="D168" t="s">
        <v>166</v>
      </c>
      <c r="E168">
        <v>570</v>
      </c>
      <c r="F168" t="s">
        <v>162</v>
      </c>
      <c r="G168" t="s">
        <v>163</v>
      </c>
      <c r="I168" t="s">
        <v>62</v>
      </c>
      <c r="J168" t="s">
        <v>136</v>
      </c>
      <c r="K168" s="1">
        <v>45699</v>
      </c>
    </row>
    <row r="169" spans="1:11" x14ac:dyDescent="0.3">
      <c r="A169" t="s">
        <v>331</v>
      </c>
      <c r="B169" s="1">
        <v>45726</v>
      </c>
      <c r="C169" t="s">
        <v>29</v>
      </c>
      <c r="D169" t="s">
        <v>161</v>
      </c>
      <c r="E169">
        <v>481</v>
      </c>
      <c r="F169" t="s">
        <v>162</v>
      </c>
      <c r="G169" t="s">
        <v>163</v>
      </c>
      <c r="I169" t="s">
        <v>80</v>
      </c>
      <c r="J169" t="s">
        <v>139</v>
      </c>
      <c r="K169" s="1">
        <v>45728</v>
      </c>
    </row>
    <row r="170" spans="1:11" x14ac:dyDescent="0.3">
      <c r="A170" t="s">
        <v>332</v>
      </c>
      <c r="B170" s="1">
        <v>45831</v>
      </c>
      <c r="C170" t="s">
        <v>43</v>
      </c>
      <c r="D170" t="s">
        <v>161</v>
      </c>
      <c r="E170">
        <v>483</v>
      </c>
      <c r="F170" t="s">
        <v>162</v>
      </c>
      <c r="G170" t="s">
        <v>163</v>
      </c>
      <c r="I170" t="s">
        <v>82</v>
      </c>
      <c r="J170" t="s">
        <v>130</v>
      </c>
      <c r="K170" s="1">
        <v>45791</v>
      </c>
    </row>
    <row r="171" spans="1:11" x14ac:dyDescent="0.3">
      <c r="A171" t="s">
        <v>333</v>
      </c>
      <c r="B171" s="1">
        <v>45814</v>
      </c>
      <c r="C171" t="s">
        <v>32</v>
      </c>
      <c r="D171" t="s">
        <v>166</v>
      </c>
      <c r="E171">
        <v>863</v>
      </c>
      <c r="F171" t="s">
        <v>162</v>
      </c>
      <c r="G171" t="s">
        <v>163</v>
      </c>
      <c r="I171" t="s">
        <v>108</v>
      </c>
      <c r="J171" t="s">
        <v>127</v>
      </c>
      <c r="K171" s="1">
        <v>45680</v>
      </c>
    </row>
    <row r="172" spans="1:11" x14ac:dyDescent="0.3">
      <c r="A172" t="s">
        <v>334</v>
      </c>
      <c r="B172" s="1">
        <v>45735</v>
      </c>
      <c r="C172" t="s">
        <v>29</v>
      </c>
      <c r="D172" t="s">
        <v>161</v>
      </c>
      <c r="E172">
        <v>717</v>
      </c>
      <c r="F172" t="s">
        <v>162</v>
      </c>
      <c r="G172" t="s">
        <v>163</v>
      </c>
      <c r="I172" t="s">
        <v>78</v>
      </c>
      <c r="J172" t="s">
        <v>124</v>
      </c>
      <c r="K172" s="1">
        <v>45790</v>
      </c>
    </row>
    <row r="173" spans="1:11" x14ac:dyDescent="0.3">
      <c r="A173" t="s">
        <v>335</v>
      </c>
      <c r="B173" s="1">
        <v>45679</v>
      </c>
      <c r="C173" t="s">
        <v>27</v>
      </c>
      <c r="D173" t="s">
        <v>166</v>
      </c>
      <c r="E173">
        <v>174</v>
      </c>
      <c r="F173" t="s">
        <v>162</v>
      </c>
      <c r="G173" t="s">
        <v>163</v>
      </c>
      <c r="I173" t="s">
        <v>108</v>
      </c>
      <c r="J173" t="s">
        <v>130</v>
      </c>
      <c r="K173" s="1">
        <v>45691</v>
      </c>
    </row>
    <row r="174" spans="1:11" x14ac:dyDescent="0.3">
      <c r="A174" t="s">
        <v>336</v>
      </c>
      <c r="B174" s="1">
        <v>45720</v>
      </c>
      <c r="C174" t="s">
        <v>37</v>
      </c>
      <c r="D174" t="s">
        <v>166</v>
      </c>
      <c r="E174">
        <v>411</v>
      </c>
      <c r="F174" t="s">
        <v>162</v>
      </c>
      <c r="G174" t="s">
        <v>163</v>
      </c>
      <c r="I174" t="s">
        <v>100</v>
      </c>
      <c r="J174" t="s">
        <v>142</v>
      </c>
      <c r="K174" s="1">
        <v>45825</v>
      </c>
    </row>
    <row r="175" spans="1:11" x14ac:dyDescent="0.3">
      <c r="A175" t="s">
        <v>337</v>
      </c>
      <c r="B175" s="1">
        <v>45820</v>
      </c>
      <c r="C175" t="s">
        <v>27</v>
      </c>
      <c r="D175" t="s">
        <v>161</v>
      </c>
      <c r="E175">
        <v>589</v>
      </c>
      <c r="F175" t="s">
        <v>162</v>
      </c>
      <c r="G175" t="s">
        <v>163</v>
      </c>
      <c r="I175" t="s">
        <v>92</v>
      </c>
      <c r="J175" t="s">
        <v>142</v>
      </c>
      <c r="K175" s="1">
        <v>45792</v>
      </c>
    </row>
    <row r="176" spans="1:11" x14ac:dyDescent="0.3">
      <c r="A176" t="s">
        <v>338</v>
      </c>
      <c r="B176" s="1">
        <v>45715</v>
      </c>
      <c r="C176" t="s">
        <v>37</v>
      </c>
      <c r="D176" t="s">
        <v>161</v>
      </c>
      <c r="E176">
        <v>306</v>
      </c>
      <c r="F176" t="s">
        <v>162</v>
      </c>
      <c r="G176" t="s">
        <v>163</v>
      </c>
      <c r="I176" t="s">
        <v>68</v>
      </c>
      <c r="J176" t="s">
        <v>127</v>
      </c>
      <c r="K176" s="1">
        <v>45785</v>
      </c>
    </row>
    <row r="177" spans="1:11" x14ac:dyDescent="0.3">
      <c r="A177" t="s">
        <v>339</v>
      </c>
      <c r="B177" s="1">
        <v>45765</v>
      </c>
      <c r="C177" t="s">
        <v>27</v>
      </c>
      <c r="D177" t="s">
        <v>161</v>
      </c>
      <c r="E177">
        <v>94</v>
      </c>
      <c r="F177" t="s">
        <v>162</v>
      </c>
      <c r="G177" t="s">
        <v>163</v>
      </c>
      <c r="I177" t="s">
        <v>88</v>
      </c>
      <c r="J177" t="s">
        <v>139</v>
      </c>
      <c r="K177" s="1">
        <v>45793</v>
      </c>
    </row>
    <row r="178" spans="1:11" x14ac:dyDescent="0.3">
      <c r="A178" t="s">
        <v>340</v>
      </c>
      <c r="B178" s="1">
        <v>45743</v>
      </c>
      <c r="C178" t="s">
        <v>37</v>
      </c>
      <c r="D178" t="s">
        <v>166</v>
      </c>
      <c r="E178">
        <v>488</v>
      </c>
      <c r="F178" t="s">
        <v>162</v>
      </c>
      <c r="G178" t="s">
        <v>163</v>
      </c>
      <c r="I178" t="s">
        <v>51</v>
      </c>
      <c r="J178" t="s">
        <v>121</v>
      </c>
      <c r="K178" s="1">
        <v>45765</v>
      </c>
    </row>
    <row r="179" spans="1:11" x14ac:dyDescent="0.3">
      <c r="A179" t="s">
        <v>341</v>
      </c>
      <c r="B179" s="1">
        <v>45765</v>
      </c>
      <c r="C179" t="s">
        <v>35</v>
      </c>
      <c r="D179" t="s">
        <v>166</v>
      </c>
      <c r="E179">
        <v>618</v>
      </c>
      <c r="F179" t="s">
        <v>162</v>
      </c>
      <c r="G179" t="s">
        <v>163</v>
      </c>
      <c r="I179" t="s">
        <v>80</v>
      </c>
      <c r="J179" t="s">
        <v>121</v>
      </c>
      <c r="K179" s="1">
        <v>45674</v>
      </c>
    </row>
    <row r="180" spans="1:11" x14ac:dyDescent="0.3">
      <c r="A180" t="s">
        <v>342</v>
      </c>
      <c r="B180" s="1">
        <v>45671</v>
      </c>
      <c r="C180" t="s">
        <v>27</v>
      </c>
      <c r="D180" t="s">
        <v>166</v>
      </c>
      <c r="E180">
        <v>104</v>
      </c>
      <c r="F180" t="s">
        <v>162</v>
      </c>
      <c r="G180" t="s">
        <v>163</v>
      </c>
      <c r="I180" t="s">
        <v>110</v>
      </c>
      <c r="J180" t="s">
        <v>118</v>
      </c>
      <c r="K180" s="1">
        <v>45716</v>
      </c>
    </row>
    <row r="181" spans="1:11" x14ac:dyDescent="0.3">
      <c r="A181" t="s">
        <v>343</v>
      </c>
      <c r="B181" s="1">
        <v>45664</v>
      </c>
      <c r="C181" t="s">
        <v>35</v>
      </c>
      <c r="D181" t="s">
        <v>166</v>
      </c>
      <c r="E181">
        <v>641</v>
      </c>
      <c r="F181" t="s">
        <v>162</v>
      </c>
      <c r="G181" t="s">
        <v>163</v>
      </c>
      <c r="I181" t="s">
        <v>74</v>
      </c>
      <c r="J181" t="s">
        <v>115</v>
      </c>
      <c r="K181" s="1">
        <v>45671</v>
      </c>
    </row>
    <row r="182" spans="1:11" x14ac:dyDescent="0.3">
      <c r="A182" t="s">
        <v>344</v>
      </c>
      <c r="B182" s="1">
        <v>45792</v>
      </c>
      <c r="C182" t="s">
        <v>43</v>
      </c>
      <c r="D182" t="s">
        <v>166</v>
      </c>
      <c r="E182">
        <v>202</v>
      </c>
      <c r="F182" t="s">
        <v>162</v>
      </c>
      <c r="G182" t="s">
        <v>163</v>
      </c>
      <c r="I182" t="s">
        <v>70</v>
      </c>
      <c r="J182" t="s">
        <v>136</v>
      </c>
      <c r="K182" s="1">
        <v>45758</v>
      </c>
    </row>
    <row r="183" spans="1:11" x14ac:dyDescent="0.3">
      <c r="A183" t="s">
        <v>345</v>
      </c>
      <c r="B183" s="1">
        <v>45734</v>
      </c>
      <c r="C183" t="s">
        <v>43</v>
      </c>
      <c r="D183" t="s">
        <v>161</v>
      </c>
      <c r="E183">
        <v>989</v>
      </c>
      <c r="F183" t="s">
        <v>162</v>
      </c>
      <c r="G183" t="s">
        <v>163</v>
      </c>
      <c r="I183" t="s">
        <v>68</v>
      </c>
      <c r="J183" t="s">
        <v>115</v>
      </c>
      <c r="K183" s="1">
        <v>45819</v>
      </c>
    </row>
    <row r="184" spans="1:11" x14ac:dyDescent="0.3">
      <c r="A184" t="s">
        <v>346</v>
      </c>
      <c r="B184" s="1">
        <v>45818</v>
      </c>
      <c r="C184" t="s">
        <v>39</v>
      </c>
      <c r="D184" t="s">
        <v>161</v>
      </c>
      <c r="E184">
        <v>382</v>
      </c>
      <c r="F184" t="s">
        <v>162</v>
      </c>
      <c r="G184" t="s">
        <v>163</v>
      </c>
      <c r="I184" t="s">
        <v>110</v>
      </c>
      <c r="J184" t="s">
        <v>130</v>
      </c>
      <c r="K184" s="1">
        <v>45734</v>
      </c>
    </row>
    <row r="185" spans="1:11" x14ac:dyDescent="0.3">
      <c r="A185" t="s">
        <v>347</v>
      </c>
      <c r="B185" s="1">
        <v>45715</v>
      </c>
      <c r="C185" t="s">
        <v>32</v>
      </c>
      <c r="D185" t="s">
        <v>161</v>
      </c>
      <c r="E185">
        <v>51</v>
      </c>
      <c r="F185" t="s">
        <v>162</v>
      </c>
      <c r="G185" t="s">
        <v>163</v>
      </c>
      <c r="I185" t="s">
        <v>62</v>
      </c>
      <c r="J185" t="s">
        <v>124</v>
      </c>
      <c r="K185" s="1">
        <v>45687</v>
      </c>
    </row>
    <row r="186" spans="1:11" x14ac:dyDescent="0.3">
      <c r="A186" t="s">
        <v>348</v>
      </c>
      <c r="B186" s="1">
        <v>45744</v>
      </c>
      <c r="C186" t="s">
        <v>35</v>
      </c>
      <c r="D186" t="s">
        <v>166</v>
      </c>
      <c r="E186">
        <v>583</v>
      </c>
      <c r="F186" t="s">
        <v>162</v>
      </c>
      <c r="G186" t="s">
        <v>163</v>
      </c>
      <c r="I186" t="s">
        <v>110</v>
      </c>
      <c r="J186" t="s">
        <v>136</v>
      </c>
      <c r="K186" s="1">
        <v>45708</v>
      </c>
    </row>
    <row r="187" spans="1:11" x14ac:dyDescent="0.3">
      <c r="A187" t="s">
        <v>349</v>
      </c>
      <c r="B187" s="1">
        <v>45707</v>
      </c>
      <c r="C187" t="s">
        <v>27</v>
      </c>
      <c r="D187" t="s">
        <v>166</v>
      </c>
      <c r="E187">
        <v>433</v>
      </c>
      <c r="F187" t="s">
        <v>162</v>
      </c>
      <c r="G187" t="s">
        <v>163</v>
      </c>
      <c r="I187" t="s">
        <v>108</v>
      </c>
      <c r="J187" t="s">
        <v>121</v>
      </c>
      <c r="K187" s="1">
        <v>45670</v>
      </c>
    </row>
    <row r="188" spans="1:11" x14ac:dyDescent="0.3">
      <c r="A188" t="s">
        <v>350</v>
      </c>
      <c r="B188" s="1">
        <v>45698</v>
      </c>
      <c r="C188" t="s">
        <v>43</v>
      </c>
      <c r="D188" t="s">
        <v>161</v>
      </c>
      <c r="E188">
        <v>978</v>
      </c>
      <c r="F188" t="s">
        <v>162</v>
      </c>
      <c r="G188" t="s">
        <v>163</v>
      </c>
      <c r="I188" t="s">
        <v>72</v>
      </c>
      <c r="J188" t="s">
        <v>118</v>
      </c>
      <c r="K188" s="1">
        <v>45671</v>
      </c>
    </row>
    <row r="189" spans="1:11" x14ac:dyDescent="0.3">
      <c r="A189" t="s">
        <v>351</v>
      </c>
      <c r="B189" s="1">
        <v>45699</v>
      </c>
      <c r="C189" t="s">
        <v>35</v>
      </c>
      <c r="D189" t="s">
        <v>161</v>
      </c>
      <c r="E189">
        <v>353</v>
      </c>
      <c r="F189" t="s">
        <v>162</v>
      </c>
      <c r="G189" t="s">
        <v>163</v>
      </c>
      <c r="I189" t="s">
        <v>48</v>
      </c>
      <c r="J189" t="s">
        <v>130</v>
      </c>
      <c r="K189" s="1">
        <v>45667</v>
      </c>
    </row>
    <row r="190" spans="1:11" x14ac:dyDescent="0.3">
      <c r="A190" t="s">
        <v>352</v>
      </c>
      <c r="B190" s="1">
        <v>45694</v>
      </c>
      <c r="C190" t="s">
        <v>41</v>
      </c>
      <c r="D190" t="s">
        <v>161</v>
      </c>
      <c r="E190">
        <v>220</v>
      </c>
      <c r="F190" t="s">
        <v>162</v>
      </c>
      <c r="G190" t="s">
        <v>163</v>
      </c>
      <c r="I190" t="s">
        <v>96</v>
      </c>
      <c r="J190" t="s">
        <v>127</v>
      </c>
      <c r="K190" s="1">
        <v>45824</v>
      </c>
    </row>
    <row r="191" spans="1:11" x14ac:dyDescent="0.3">
      <c r="A191" t="s">
        <v>353</v>
      </c>
      <c r="B191" s="1">
        <v>45740</v>
      </c>
      <c r="C191" t="s">
        <v>37</v>
      </c>
      <c r="D191" t="s">
        <v>161</v>
      </c>
      <c r="E191">
        <v>105</v>
      </c>
      <c r="F191" t="s">
        <v>162</v>
      </c>
      <c r="G191" t="s">
        <v>163</v>
      </c>
      <c r="I191" t="s">
        <v>80</v>
      </c>
      <c r="J191" t="s">
        <v>124</v>
      </c>
      <c r="K191" s="1">
        <v>45806</v>
      </c>
    </row>
    <row r="192" spans="1:11" x14ac:dyDescent="0.3">
      <c r="A192" t="s">
        <v>354</v>
      </c>
      <c r="B192" s="1">
        <v>45694</v>
      </c>
      <c r="C192" t="s">
        <v>41</v>
      </c>
      <c r="D192" t="s">
        <v>166</v>
      </c>
      <c r="E192">
        <v>741</v>
      </c>
      <c r="F192" t="s">
        <v>162</v>
      </c>
      <c r="G192" t="s">
        <v>163</v>
      </c>
      <c r="I192" t="s">
        <v>88</v>
      </c>
      <c r="J192" t="s">
        <v>142</v>
      </c>
      <c r="K192" s="1">
        <v>45720</v>
      </c>
    </row>
    <row r="193" spans="1:11" x14ac:dyDescent="0.3">
      <c r="A193" t="s">
        <v>355</v>
      </c>
      <c r="B193" s="1">
        <v>45709</v>
      </c>
      <c r="C193" t="s">
        <v>37</v>
      </c>
      <c r="D193" t="s">
        <v>161</v>
      </c>
      <c r="E193">
        <v>964</v>
      </c>
      <c r="F193" t="s">
        <v>162</v>
      </c>
      <c r="G193" t="s">
        <v>163</v>
      </c>
      <c r="I193" t="s">
        <v>62</v>
      </c>
      <c r="J193" t="s">
        <v>124</v>
      </c>
      <c r="K193" s="1">
        <v>45806</v>
      </c>
    </row>
    <row r="194" spans="1:11" x14ac:dyDescent="0.3">
      <c r="A194" t="s">
        <v>356</v>
      </c>
      <c r="B194" s="1">
        <v>45706</v>
      </c>
      <c r="C194" t="s">
        <v>29</v>
      </c>
      <c r="D194" t="s">
        <v>166</v>
      </c>
      <c r="E194">
        <v>603</v>
      </c>
      <c r="F194" t="s">
        <v>162</v>
      </c>
      <c r="G194" t="s">
        <v>163</v>
      </c>
      <c r="I194" t="s">
        <v>96</v>
      </c>
      <c r="J194" t="s">
        <v>142</v>
      </c>
      <c r="K194" s="1">
        <v>45749</v>
      </c>
    </row>
    <row r="195" spans="1:11" x14ac:dyDescent="0.3">
      <c r="A195" t="s">
        <v>357</v>
      </c>
      <c r="B195" s="1">
        <v>45688</v>
      </c>
      <c r="C195" t="s">
        <v>37</v>
      </c>
      <c r="D195" t="s">
        <v>161</v>
      </c>
      <c r="E195">
        <v>825</v>
      </c>
      <c r="F195" t="s">
        <v>162</v>
      </c>
      <c r="G195" t="s">
        <v>163</v>
      </c>
      <c r="I195" t="s">
        <v>84</v>
      </c>
      <c r="J195" t="s">
        <v>136</v>
      </c>
      <c r="K195" s="1">
        <v>45719</v>
      </c>
    </row>
    <row r="196" spans="1:11" x14ac:dyDescent="0.3">
      <c r="A196" t="s">
        <v>358</v>
      </c>
      <c r="B196" s="1">
        <v>45790</v>
      </c>
      <c r="C196" t="s">
        <v>27</v>
      </c>
      <c r="D196" t="s">
        <v>166</v>
      </c>
      <c r="E196">
        <v>149</v>
      </c>
      <c r="F196" t="s">
        <v>162</v>
      </c>
      <c r="G196" t="s">
        <v>163</v>
      </c>
      <c r="I196" t="s">
        <v>72</v>
      </c>
      <c r="J196" t="s">
        <v>118</v>
      </c>
      <c r="K196" s="1">
        <v>45824</v>
      </c>
    </row>
    <row r="197" spans="1:11" x14ac:dyDescent="0.3">
      <c r="A197" t="s">
        <v>359</v>
      </c>
      <c r="B197" s="1">
        <v>45761</v>
      </c>
      <c r="C197" t="s">
        <v>39</v>
      </c>
      <c r="D197" t="s">
        <v>166</v>
      </c>
      <c r="E197">
        <v>472</v>
      </c>
      <c r="F197" t="s">
        <v>162</v>
      </c>
      <c r="G197" t="s">
        <v>163</v>
      </c>
      <c r="I197" t="s">
        <v>94</v>
      </c>
      <c r="J197" t="s">
        <v>115</v>
      </c>
      <c r="K197" s="1">
        <v>45733</v>
      </c>
    </row>
    <row r="198" spans="1:11" x14ac:dyDescent="0.3">
      <c r="A198" t="s">
        <v>360</v>
      </c>
      <c r="B198" s="1">
        <v>45714</v>
      </c>
      <c r="C198" t="s">
        <v>37</v>
      </c>
      <c r="D198" t="s">
        <v>161</v>
      </c>
      <c r="E198">
        <v>488</v>
      </c>
      <c r="F198" t="s">
        <v>162</v>
      </c>
      <c r="G198" t="s">
        <v>163</v>
      </c>
      <c r="I198" t="s">
        <v>94</v>
      </c>
      <c r="J198" t="s">
        <v>115</v>
      </c>
      <c r="K198" s="1">
        <v>45832</v>
      </c>
    </row>
    <row r="199" spans="1:11" x14ac:dyDescent="0.3">
      <c r="A199" t="s">
        <v>361</v>
      </c>
      <c r="B199" s="1">
        <v>45833</v>
      </c>
      <c r="C199" t="s">
        <v>35</v>
      </c>
      <c r="D199" t="s">
        <v>161</v>
      </c>
      <c r="E199">
        <v>427</v>
      </c>
      <c r="F199" t="s">
        <v>162</v>
      </c>
      <c r="G199" t="s">
        <v>163</v>
      </c>
      <c r="I199" t="s">
        <v>60</v>
      </c>
      <c r="J199" t="s">
        <v>127</v>
      </c>
      <c r="K199" s="1">
        <v>45701</v>
      </c>
    </row>
    <row r="200" spans="1:11" x14ac:dyDescent="0.3">
      <c r="A200" t="s">
        <v>362</v>
      </c>
      <c r="B200" s="1">
        <v>45660</v>
      </c>
      <c r="C200" t="s">
        <v>37</v>
      </c>
      <c r="D200" t="s">
        <v>166</v>
      </c>
      <c r="E200">
        <v>223</v>
      </c>
      <c r="F200" t="s">
        <v>162</v>
      </c>
      <c r="G200" t="s">
        <v>163</v>
      </c>
      <c r="I200" t="s">
        <v>70</v>
      </c>
      <c r="J200" t="s">
        <v>127</v>
      </c>
      <c r="K200" s="1">
        <v>45734</v>
      </c>
    </row>
    <row r="201" spans="1:11" x14ac:dyDescent="0.3">
      <c r="A201" t="s">
        <v>363</v>
      </c>
      <c r="B201" s="1">
        <v>45749</v>
      </c>
      <c r="C201" t="s">
        <v>41</v>
      </c>
      <c r="D201" t="s">
        <v>161</v>
      </c>
      <c r="E201">
        <v>13</v>
      </c>
      <c r="F201" t="s">
        <v>162</v>
      </c>
      <c r="G201" t="s">
        <v>163</v>
      </c>
      <c r="I201" t="s">
        <v>70</v>
      </c>
      <c r="J201" t="s">
        <v>115</v>
      </c>
      <c r="K201" s="1">
        <v>45748</v>
      </c>
    </row>
    <row r="202" spans="1:11" x14ac:dyDescent="0.3">
      <c r="A202" t="s">
        <v>364</v>
      </c>
      <c r="B202" s="1">
        <v>45686</v>
      </c>
      <c r="C202" t="s">
        <v>43</v>
      </c>
      <c r="D202" t="s">
        <v>161</v>
      </c>
      <c r="E202">
        <v>545</v>
      </c>
      <c r="F202" t="s">
        <v>162</v>
      </c>
      <c r="G202" t="s">
        <v>163</v>
      </c>
      <c r="I202" t="s">
        <v>78</v>
      </c>
      <c r="J202" t="s">
        <v>136</v>
      </c>
      <c r="K202" s="1">
        <v>45735</v>
      </c>
    </row>
    <row r="203" spans="1:11" x14ac:dyDescent="0.3">
      <c r="A203" t="s">
        <v>365</v>
      </c>
      <c r="B203" s="1">
        <v>45721</v>
      </c>
      <c r="C203" t="s">
        <v>27</v>
      </c>
      <c r="D203" t="s">
        <v>161</v>
      </c>
      <c r="E203">
        <v>855</v>
      </c>
      <c r="F203" t="s">
        <v>162</v>
      </c>
      <c r="G203" t="s">
        <v>163</v>
      </c>
      <c r="I203" t="s">
        <v>74</v>
      </c>
      <c r="J203" t="s">
        <v>136</v>
      </c>
      <c r="K203" s="1">
        <v>45755</v>
      </c>
    </row>
    <row r="204" spans="1:11" x14ac:dyDescent="0.3">
      <c r="A204" t="s">
        <v>366</v>
      </c>
      <c r="B204" s="1">
        <v>45770</v>
      </c>
      <c r="C204" t="s">
        <v>35</v>
      </c>
      <c r="D204" t="s">
        <v>161</v>
      </c>
      <c r="E204">
        <v>779</v>
      </c>
      <c r="F204" t="s">
        <v>162</v>
      </c>
      <c r="G204" t="s">
        <v>163</v>
      </c>
      <c r="I204" t="s">
        <v>51</v>
      </c>
      <c r="J204" t="s">
        <v>139</v>
      </c>
      <c r="K204" s="1">
        <v>45831</v>
      </c>
    </row>
    <row r="205" spans="1:11" x14ac:dyDescent="0.3">
      <c r="A205" t="s">
        <v>367</v>
      </c>
      <c r="B205" s="1">
        <v>45806</v>
      </c>
      <c r="C205" t="s">
        <v>43</v>
      </c>
      <c r="D205" t="s">
        <v>161</v>
      </c>
      <c r="E205">
        <v>448</v>
      </c>
      <c r="F205" t="s">
        <v>162</v>
      </c>
      <c r="G205" t="s">
        <v>163</v>
      </c>
      <c r="I205" t="s">
        <v>90</v>
      </c>
      <c r="J205" t="s">
        <v>121</v>
      </c>
      <c r="K205" s="1">
        <v>45688</v>
      </c>
    </row>
    <row r="206" spans="1:11" x14ac:dyDescent="0.3">
      <c r="A206" t="s">
        <v>368</v>
      </c>
      <c r="B206" s="1">
        <v>45800</v>
      </c>
      <c r="C206" t="s">
        <v>27</v>
      </c>
      <c r="D206" t="s">
        <v>161</v>
      </c>
      <c r="E206">
        <v>560</v>
      </c>
      <c r="F206" t="s">
        <v>162</v>
      </c>
      <c r="G206" t="s">
        <v>163</v>
      </c>
      <c r="I206" t="s">
        <v>66</v>
      </c>
      <c r="J206" t="s">
        <v>133</v>
      </c>
      <c r="K206" s="1">
        <v>45750</v>
      </c>
    </row>
    <row r="207" spans="1:11" x14ac:dyDescent="0.3">
      <c r="A207" t="s">
        <v>369</v>
      </c>
      <c r="B207" s="1">
        <v>45664</v>
      </c>
      <c r="C207" t="s">
        <v>27</v>
      </c>
      <c r="D207" t="s">
        <v>166</v>
      </c>
      <c r="E207">
        <v>739</v>
      </c>
      <c r="F207" t="s">
        <v>162</v>
      </c>
      <c r="G207" t="s">
        <v>163</v>
      </c>
      <c r="I207" t="s">
        <v>82</v>
      </c>
      <c r="J207" t="s">
        <v>121</v>
      </c>
      <c r="K207" s="1">
        <v>45672</v>
      </c>
    </row>
    <row r="208" spans="1:11" x14ac:dyDescent="0.3">
      <c r="A208" t="s">
        <v>370</v>
      </c>
      <c r="B208" s="1">
        <v>45700</v>
      </c>
      <c r="C208" t="s">
        <v>37</v>
      </c>
      <c r="D208" t="s">
        <v>166</v>
      </c>
      <c r="E208">
        <v>596</v>
      </c>
      <c r="F208" t="s">
        <v>162</v>
      </c>
      <c r="G208" t="s">
        <v>163</v>
      </c>
      <c r="I208" t="s">
        <v>96</v>
      </c>
      <c r="J208" t="s">
        <v>118</v>
      </c>
      <c r="K208" s="1">
        <v>45756</v>
      </c>
    </row>
    <row r="209" spans="1:11" x14ac:dyDescent="0.3">
      <c r="A209" t="s">
        <v>371</v>
      </c>
      <c r="B209" s="1">
        <v>45712</v>
      </c>
      <c r="C209" t="s">
        <v>35</v>
      </c>
      <c r="D209" t="s">
        <v>166</v>
      </c>
      <c r="E209">
        <v>666</v>
      </c>
      <c r="F209" t="s">
        <v>162</v>
      </c>
      <c r="G209" t="s">
        <v>163</v>
      </c>
      <c r="I209" t="s">
        <v>66</v>
      </c>
      <c r="J209" t="s">
        <v>118</v>
      </c>
      <c r="K209" s="1">
        <v>45796</v>
      </c>
    </row>
    <row r="210" spans="1:11" x14ac:dyDescent="0.3">
      <c r="A210" t="s">
        <v>372</v>
      </c>
      <c r="B210" s="1">
        <v>45755</v>
      </c>
      <c r="C210" t="s">
        <v>37</v>
      </c>
      <c r="D210" t="s">
        <v>161</v>
      </c>
      <c r="E210">
        <v>175</v>
      </c>
      <c r="F210" t="s">
        <v>162</v>
      </c>
      <c r="G210" t="s">
        <v>163</v>
      </c>
      <c r="I210" t="s">
        <v>78</v>
      </c>
      <c r="J210" t="s">
        <v>133</v>
      </c>
      <c r="K210" s="1">
        <v>45677</v>
      </c>
    </row>
    <row r="211" spans="1:11" x14ac:dyDescent="0.3">
      <c r="A211" t="s">
        <v>373</v>
      </c>
      <c r="B211" s="1">
        <v>45729</v>
      </c>
      <c r="C211" t="s">
        <v>41</v>
      </c>
      <c r="D211" t="s">
        <v>166</v>
      </c>
      <c r="E211">
        <v>298</v>
      </c>
      <c r="F211" t="s">
        <v>162</v>
      </c>
      <c r="G211" t="s">
        <v>163</v>
      </c>
      <c r="I211" t="s">
        <v>90</v>
      </c>
      <c r="J211" t="s">
        <v>136</v>
      </c>
      <c r="K211" s="1">
        <v>45786</v>
      </c>
    </row>
    <row r="212" spans="1:11" x14ac:dyDescent="0.3">
      <c r="A212" t="s">
        <v>374</v>
      </c>
      <c r="B212" s="1">
        <v>45708</v>
      </c>
      <c r="C212" t="s">
        <v>37</v>
      </c>
      <c r="D212" t="s">
        <v>161</v>
      </c>
      <c r="E212">
        <v>487</v>
      </c>
      <c r="F212" t="s">
        <v>162</v>
      </c>
      <c r="G212" t="s">
        <v>163</v>
      </c>
      <c r="I212" t="s">
        <v>88</v>
      </c>
      <c r="J212" t="s">
        <v>127</v>
      </c>
      <c r="K212" s="1">
        <v>45684</v>
      </c>
    </row>
    <row r="213" spans="1:11" x14ac:dyDescent="0.3">
      <c r="A213" t="s">
        <v>375</v>
      </c>
      <c r="B213" s="1">
        <v>45679</v>
      </c>
      <c r="C213" t="s">
        <v>43</v>
      </c>
      <c r="D213" t="s">
        <v>161</v>
      </c>
      <c r="E213">
        <v>831</v>
      </c>
      <c r="F213" t="s">
        <v>162</v>
      </c>
      <c r="G213" t="s">
        <v>163</v>
      </c>
      <c r="I213" t="s">
        <v>72</v>
      </c>
      <c r="J213" t="s">
        <v>115</v>
      </c>
      <c r="K213" s="1">
        <v>45701</v>
      </c>
    </row>
    <row r="214" spans="1:11" x14ac:dyDescent="0.3">
      <c r="A214" t="s">
        <v>376</v>
      </c>
      <c r="B214" s="1">
        <v>45740</v>
      </c>
      <c r="C214" t="s">
        <v>37</v>
      </c>
      <c r="D214" t="s">
        <v>166</v>
      </c>
      <c r="E214">
        <v>846</v>
      </c>
      <c r="F214" t="s">
        <v>162</v>
      </c>
      <c r="G214" t="s">
        <v>163</v>
      </c>
      <c r="I214" t="s">
        <v>82</v>
      </c>
      <c r="J214" t="s">
        <v>118</v>
      </c>
      <c r="K214" s="1">
        <v>45834</v>
      </c>
    </row>
    <row r="215" spans="1:11" x14ac:dyDescent="0.3">
      <c r="A215" t="s">
        <v>377</v>
      </c>
      <c r="B215" s="1">
        <v>45835</v>
      </c>
      <c r="C215" t="s">
        <v>39</v>
      </c>
      <c r="D215" t="s">
        <v>161</v>
      </c>
      <c r="E215">
        <v>528</v>
      </c>
      <c r="F215" t="s">
        <v>162</v>
      </c>
      <c r="G215" t="s">
        <v>163</v>
      </c>
      <c r="I215" t="s">
        <v>60</v>
      </c>
      <c r="J215" t="s">
        <v>124</v>
      </c>
      <c r="K215" s="1">
        <v>45672</v>
      </c>
    </row>
    <row r="216" spans="1:11" x14ac:dyDescent="0.3">
      <c r="A216" t="s">
        <v>378</v>
      </c>
      <c r="B216" s="1">
        <v>45730</v>
      </c>
      <c r="C216" t="s">
        <v>37</v>
      </c>
      <c r="D216" t="s">
        <v>166</v>
      </c>
      <c r="E216">
        <v>920</v>
      </c>
      <c r="F216" t="s">
        <v>162</v>
      </c>
      <c r="G216" t="s">
        <v>163</v>
      </c>
      <c r="I216" t="s">
        <v>66</v>
      </c>
      <c r="J216" t="s">
        <v>133</v>
      </c>
      <c r="K216" s="1">
        <v>45835</v>
      </c>
    </row>
    <row r="217" spans="1:11" x14ac:dyDescent="0.3">
      <c r="A217" t="s">
        <v>379</v>
      </c>
      <c r="B217" s="1">
        <v>45663</v>
      </c>
      <c r="C217" t="s">
        <v>35</v>
      </c>
      <c r="D217" t="s">
        <v>166</v>
      </c>
      <c r="E217">
        <v>903</v>
      </c>
      <c r="F217" t="s">
        <v>162</v>
      </c>
      <c r="G217" t="s">
        <v>163</v>
      </c>
      <c r="I217" t="s">
        <v>54</v>
      </c>
      <c r="J217" t="s">
        <v>133</v>
      </c>
      <c r="K217" s="1">
        <v>45715</v>
      </c>
    </row>
    <row r="218" spans="1:11" x14ac:dyDescent="0.3">
      <c r="A218" t="s">
        <v>380</v>
      </c>
      <c r="B218" s="1">
        <v>45686</v>
      </c>
      <c r="C218" t="s">
        <v>43</v>
      </c>
      <c r="D218" t="s">
        <v>166</v>
      </c>
      <c r="E218">
        <v>560</v>
      </c>
      <c r="F218" t="s">
        <v>162</v>
      </c>
      <c r="G218" t="s">
        <v>163</v>
      </c>
      <c r="I218" t="s">
        <v>60</v>
      </c>
      <c r="J218" t="s">
        <v>142</v>
      </c>
      <c r="K218" s="1">
        <v>45672</v>
      </c>
    </row>
    <row r="219" spans="1:11" x14ac:dyDescent="0.3">
      <c r="A219" t="s">
        <v>381</v>
      </c>
      <c r="B219" s="1">
        <v>45775</v>
      </c>
      <c r="C219" t="s">
        <v>43</v>
      </c>
      <c r="D219" t="s">
        <v>166</v>
      </c>
      <c r="E219">
        <v>972</v>
      </c>
      <c r="F219" t="s">
        <v>162</v>
      </c>
      <c r="G219" t="s">
        <v>163</v>
      </c>
      <c r="I219" t="s">
        <v>57</v>
      </c>
      <c r="J219" t="s">
        <v>133</v>
      </c>
      <c r="K219" s="1">
        <v>45698</v>
      </c>
    </row>
    <row r="220" spans="1:11" x14ac:dyDescent="0.3">
      <c r="A220" t="s">
        <v>382</v>
      </c>
      <c r="B220" s="1">
        <v>45754</v>
      </c>
      <c r="C220" t="s">
        <v>43</v>
      </c>
      <c r="D220" t="s">
        <v>166</v>
      </c>
      <c r="E220">
        <v>786</v>
      </c>
      <c r="F220" t="s">
        <v>162</v>
      </c>
      <c r="G220" t="s">
        <v>163</v>
      </c>
      <c r="I220" t="s">
        <v>72</v>
      </c>
      <c r="J220" t="s">
        <v>121</v>
      </c>
      <c r="K220" s="1">
        <v>45702</v>
      </c>
    </row>
    <row r="221" spans="1:11" x14ac:dyDescent="0.3">
      <c r="A221" t="s">
        <v>383</v>
      </c>
      <c r="B221" s="1">
        <v>45726</v>
      </c>
      <c r="C221" t="s">
        <v>32</v>
      </c>
      <c r="D221" t="s">
        <v>166</v>
      </c>
      <c r="E221">
        <v>504</v>
      </c>
      <c r="F221" t="s">
        <v>162</v>
      </c>
      <c r="G221" t="s">
        <v>163</v>
      </c>
      <c r="I221" t="s">
        <v>88</v>
      </c>
      <c r="J221" t="s">
        <v>139</v>
      </c>
      <c r="K221" s="1">
        <v>45768</v>
      </c>
    </row>
    <row r="222" spans="1:11" x14ac:dyDescent="0.3">
      <c r="A222" t="s">
        <v>384</v>
      </c>
      <c r="B222" s="1">
        <v>45783</v>
      </c>
      <c r="C222" t="s">
        <v>43</v>
      </c>
      <c r="D222" t="s">
        <v>161</v>
      </c>
      <c r="E222">
        <v>239</v>
      </c>
      <c r="F222" t="s">
        <v>162</v>
      </c>
      <c r="G222" t="s">
        <v>163</v>
      </c>
      <c r="I222" t="s">
        <v>64</v>
      </c>
      <c r="J222" t="s">
        <v>139</v>
      </c>
      <c r="K222" s="1">
        <v>45737</v>
      </c>
    </row>
    <row r="223" spans="1:11" x14ac:dyDescent="0.3">
      <c r="A223" t="s">
        <v>385</v>
      </c>
      <c r="B223" s="1">
        <v>45722</v>
      </c>
      <c r="C223" t="s">
        <v>35</v>
      </c>
      <c r="D223" t="s">
        <v>161</v>
      </c>
      <c r="E223">
        <v>872</v>
      </c>
      <c r="F223" t="s">
        <v>162</v>
      </c>
      <c r="G223" t="s">
        <v>163</v>
      </c>
      <c r="I223" t="s">
        <v>66</v>
      </c>
      <c r="J223" t="s">
        <v>115</v>
      </c>
      <c r="K223" s="1">
        <v>45754</v>
      </c>
    </row>
    <row r="224" spans="1:11" x14ac:dyDescent="0.3">
      <c r="A224" t="s">
        <v>386</v>
      </c>
      <c r="B224" s="1">
        <v>45783</v>
      </c>
      <c r="C224" t="s">
        <v>37</v>
      </c>
      <c r="D224" t="s">
        <v>166</v>
      </c>
      <c r="E224">
        <v>707</v>
      </c>
      <c r="F224" t="s">
        <v>162</v>
      </c>
      <c r="G224" t="s">
        <v>163</v>
      </c>
      <c r="I224" t="s">
        <v>82</v>
      </c>
      <c r="J224" t="s">
        <v>142</v>
      </c>
      <c r="K224" s="1">
        <v>45742</v>
      </c>
    </row>
    <row r="225" spans="1:11" x14ac:dyDescent="0.3">
      <c r="A225" t="s">
        <v>387</v>
      </c>
      <c r="B225" s="1">
        <v>45818</v>
      </c>
      <c r="C225" t="s">
        <v>37</v>
      </c>
      <c r="D225" t="s">
        <v>161</v>
      </c>
      <c r="E225">
        <v>968</v>
      </c>
      <c r="F225" t="s">
        <v>162</v>
      </c>
      <c r="G225" t="s">
        <v>163</v>
      </c>
      <c r="I225" t="s">
        <v>80</v>
      </c>
      <c r="J225" t="s">
        <v>136</v>
      </c>
      <c r="K225" s="1">
        <v>45747</v>
      </c>
    </row>
    <row r="226" spans="1:11" x14ac:dyDescent="0.3">
      <c r="A226" t="s">
        <v>388</v>
      </c>
      <c r="B226" s="1">
        <v>45670</v>
      </c>
      <c r="C226" t="s">
        <v>43</v>
      </c>
      <c r="D226" t="s">
        <v>161</v>
      </c>
      <c r="E226">
        <v>280</v>
      </c>
      <c r="F226" t="s">
        <v>162</v>
      </c>
      <c r="G226" t="s">
        <v>163</v>
      </c>
      <c r="I226" t="s">
        <v>92</v>
      </c>
      <c r="J226" t="s">
        <v>127</v>
      </c>
      <c r="K226" s="1">
        <v>45833</v>
      </c>
    </row>
    <row r="227" spans="1:11" x14ac:dyDescent="0.3">
      <c r="A227" t="s">
        <v>389</v>
      </c>
      <c r="B227" s="1">
        <v>45756</v>
      </c>
      <c r="C227" t="s">
        <v>39</v>
      </c>
      <c r="D227" t="s">
        <v>161</v>
      </c>
      <c r="E227">
        <v>416</v>
      </c>
      <c r="F227" t="s">
        <v>162</v>
      </c>
      <c r="G227" t="s">
        <v>163</v>
      </c>
      <c r="I227" t="s">
        <v>74</v>
      </c>
      <c r="J227" t="s">
        <v>121</v>
      </c>
      <c r="K227" s="1">
        <v>45740</v>
      </c>
    </row>
    <row r="228" spans="1:11" x14ac:dyDescent="0.3">
      <c r="A228" t="s">
        <v>390</v>
      </c>
      <c r="B228" s="1">
        <v>45677</v>
      </c>
      <c r="C228" t="s">
        <v>39</v>
      </c>
      <c r="D228" t="s">
        <v>166</v>
      </c>
      <c r="E228">
        <v>382</v>
      </c>
      <c r="F228" t="s">
        <v>162</v>
      </c>
      <c r="G228" t="s">
        <v>163</v>
      </c>
      <c r="I228" t="s">
        <v>104</v>
      </c>
      <c r="J228" t="s">
        <v>136</v>
      </c>
      <c r="K228" s="1">
        <v>45688</v>
      </c>
    </row>
    <row r="229" spans="1:11" x14ac:dyDescent="0.3">
      <c r="A229" t="s">
        <v>391</v>
      </c>
      <c r="B229" s="1">
        <v>45757</v>
      </c>
      <c r="C229" t="s">
        <v>32</v>
      </c>
      <c r="D229" t="s">
        <v>161</v>
      </c>
      <c r="E229">
        <v>736</v>
      </c>
      <c r="F229" t="s">
        <v>162</v>
      </c>
      <c r="G229" t="s">
        <v>163</v>
      </c>
      <c r="I229" t="s">
        <v>74</v>
      </c>
      <c r="J229" t="s">
        <v>142</v>
      </c>
      <c r="K229" s="1">
        <v>45819</v>
      </c>
    </row>
    <row r="230" spans="1:11" x14ac:dyDescent="0.3">
      <c r="A230" t="s">
        <v>392</v>
      </c>
      <c r="B230" s="1">
        <v>45737</v>
      </c>
      <c r="C230" t="s">
        <v>39</v>
      </c>
      <c r="D230" t="s">
        <v>161</v>
      </c>
      <c r="E230">
        <v>823</v>
      </c>
      <c r="F230" t="s">
        <v>162</v>
      </c>
      <c r="G230" t="s">
        <v>163</v>
      </c>
      <c r="I230" t="s">
        <v>86</v>
      </c>
      <c r="J230" t="s">
        <v>133</v>
      </c>
      <c r="K230" s="1">
        <v>45790</v>
      </c>
    </row>
    <row r="231" spans="1:11" x14ac:dyDescent="0.3">
      <c r="A231" t="s">
        <v>393</v>
      </c>
      <c r="B231" s="1">
        <v>45832</v>
      </c>
      <c r="C231" t="s">
        <v>29</v>
      </c>
      <c r="D231" t="s">
        <v>166</v>
      </c>
      <c r="E231">
        <v>76</v>
      </c>
      <c r="F231" t="s">
        <v>162</v>
      </c>
      <c r="G231" t="s">
        <v>163</v>
      </c>
      <c r="I231" t="s">
        <v>100</v>
      </c>
      <c r="J231" t="s">
        <v>142</v>
      </c>
      <c r="K231" s="1">
        <v>45730</v>
      </c>
    </row>
    <row r="232" spans="1:11" x14ac:dyDescent="0.3">
      <c r="A232" t="s">
        <v>394</v>
      </c>
      <c r="B232" s="1">
        <v>45771</v>
      </c>
      <c r="C232" t="s">
        <v>37</v>
      </c>
      <c r="D232" t="s">
        <v>161</v>
      </c>
      <c r="E232">
        <v>608</v>
      </c>
      <c r="F232" t="s">
        <v>162</v>
      </c>
      <c r="G232" t="s">
        <v>163</v>
      </c>
      <c r="I232" t="s">
        <v>70</v>
      </c>
      <c r="J232" t="s">
        <v>127</v>
      </c>
      <c r="K232" s="1">
        <v>45730</v>
      </c>
    </row>
    <row r="233" spans="1:11" x14ac:dyDescent="0.3">
      <c r="A233" t="s">
        <v>395</v>
      </c>
      <c r="B233" s="1">
        <v>45838</v>
      </c>
      <c r="C233" t="s">
        <v>43</v>
      </c>
      <c r="D233" t="s">
        <v>161</v>
      </c>
      <c r="E233">
        <v>126</v>
      </c>
      <c r="F233" t="s">
        <v>162</v>
      </c>
      <c r="G233" t="s">
        <v>163</v>
      </c>
      <c r="I233" t="s">
        <v>78</v>
      </c>
      <c r="J233" t="s">
        <v>130</v>
      </c>
      <c r="K233" s="1">
        <v>45672</v>
      </c>
    </row>
    <row r="234" spans="1:11" x14ac:dyDescent="0.3">
      <c r="A234" t="s">
        <v>396</v>
      </c>
      <c r="B234" s="1">
        <v>45734</v>
      </c>
      <c r="C234" t="s">
        <v>41</v>
      </c>
      <c r="D234" t="s">
        <v>161</v>
      </c>
      <c r="E234">
        <v>340</v>
      </c>
      <c r="F234" t="s">
        <v>162</v>
      </c>
      <c r="G234" t="s">
        <v>163</v>
      </c>
      <c r="I234" t="s">
        <v>104</v>
      </c>
      <c r="J234" t="s">
        <v>124</v>
      </c>
      <c r="K234" s="1">
        <v>45750</v>
      </c>
    </row>
    <row r="235" spans="1:11" x14ac:dyDescent="0.3">
      <c r="A235" t="s">
        <v>397</v>
      </c>
      <c r="B235" s="1">
        <v>45706</v>
      </c>
      <c r="C235" t="s">
        <v>35</v>
      </c>
      <c r="D235" t="s">
        <v>161</v>
      </c>
      <c r="E235">
        <v>545</v>
      </c>
      <c r="F235" t="s">
        <v>162</v>
      </c>
      <c r="G235" t="s">
        <v>163</v>
      </c>
      <c r="I235" t="s">
        <v>94</v>
      </c>
      <c r="J235" t="s">
        <v>142</v>
      </c>
      <c r="K235" s="1">
        <v>45749</v>
      </c>
    </row>
    <row r="236" spans="1:11" x14ac:dyDescent="0.3">
      <c r="A236" t="s">
        <v>398</v>
      </c>
      <c r="B236" s="1">
        <v>45678</v>
      </c>
      <c r="C236" t="s">
        <v>37</v>
      </c>
      <c r="D236" t="s">
        <v>161</v>
      </c>
      <c r="E236">
        <v>770</v>
      </c>
      <c r="F236" t="s">
        <v>162</v>
      </c>
      <c r="G236" t="s">
        <v>163</v>
      </c>
      <c r="I236" t="s">
        <v>88</v>
      </c>
      <c r="J236" t="s">
        <v>127</v>
      </c>
      <c r="K236" s="1">
        <v>45692</v>
      </c>
    </row>
    <row r="237" spans="1:11" x14ac:dyDescent="0.3">
      <c r="A237" t="s">
        <v>399</v>
      </c>
      <c r="B237" s="1">
        <v>45762</v>
      </c>
      <c r="C237" t="s">
        <v>29</v>
      </c>
      <c r="D237" t="s">
        <v>161</v>
      </c>
      <c r="E237">
        <v>987</v>
      </c>
      <c r="F237" t="s">
        <v>162</v>
      </c>
      <c r="G237" t="s">
        <v>163</v>
      </c>
      <c r="I237" t="s">
        <v>78</v>
      </c>
      <c r="J237" t="s">
        <v>118</v>
      </c>
      <c r="K237" s="1">
        <v>45706</v>
      </c>
    </row>
    <row r="238" spans="1:11" x14ac:dyDescent="0.3">
      <c r="A238" t="s">
        <v>400</v>
      </c>
      <c r="B238" s="1">
        <v>45740</v>
      </c>
      <c r="C238" t="s">
        <v>43</v>
      </c>
      <c r="D238" t="s">
        <v>161</v>
      </c>
      <c r="E238">
        <v>48</v>
      </c>
      <c r="F238" t="s">
        <v>162</v>
      </c>
      <c r="G238" t="s">
        <v>163</v>
      </c>
      <c r="I238" t="s">
        <v>51</v>
      </c>
      <c r="J238" t="s">
        <v>121</v>
      </c>
      <c r="K238" s="1">
        <v>45720</v>
      </c>
    </row>
    <row r="239" spans="1:11" x14ac:dyDescent="0.3">
      <c r="A239" t="s">
        <v>401</v>
      </c>
      <c r="B239" s="1">
        <v>45685</v>
      </c>
      <c r="C239" t="s">
        <v>43</v>
      </c>
      <c r="D239" t="s">
        <v>166</v>
      </c>
      <c r="E239">
        <v>507</v>
      </c>
      <c r="F239" t="s">
        <v>162</v>
      </c>
      <c r="G239" t="s">
        <v>163</v>
      </c>
      <c r="I239" t="s">
        <v>57</v>
      </c>
      <c r="J239" t="s">
        <v>121</v>
      </c>
      <c r="K239" s="1">
        <v>45762</v>
      </c>
    </row>
    <row r="240" spans="1:11" x14ac:dyDescent="0.3">
      <c r="A240" t="s">
        <v>402</v>
      </c>
      <c r="B240" s="1">
        <v>45699</v>
      </c>
      <c r="C240" t="s">
        <v>37</v>
      </c>
      <c r="D240" t="s">
        <v>161</v>
      </c>
      <c r="E240">
        <v>319</v>
      </c>
      <c r="F240" t="s">
        <v>162</v>
      </c>
      <c r="G240" t="s">
        <v>163</v>
      </c>
      <c r="I240" t="s">
        <v>78</v>
      </c>
      <c r="J240" t="s">
        <v>139</v>
      </c>
      <c r="K240" s="1">
        <v>45765</v>
      </c>
    </row>
    <row r="241" spans="1:11" x14ac:dyDescent="0.3">
      <c r="A241" t="s">
        <v>403</v>
      </c>
      <c r="B241" s="1">
        <v>45806</v>
      </c>
      <c r="C241" t="s">
        <v>37</v>
      </c>
      <c r="D241" t="s">
        <v>161</v>
      </c>
      <c r="E241">
        <v>118</v>
      </c>
      <c r="F241" t="s">
        <v>162</v>
      </c>
      <c r="G241" t="s">
        <v>163</v>
      </c>
      <c r="I241" t="s">
        <v>92</v>
      </c>
      <c r="J241" t="s">
        <v>133</v>
      </c>
      <c r="K241" s="1">
        <v>45749</v>
      </c>
    </row>
    <row r="242" spans="1:11" x14ac:dyDescent="0.3">
      <c r="A242" t="s">
        <v>404</v>
      </c>
      <c r="B242" s="1">
        <v>45687</v>
      </c>
      <c r="C242" t="s">
        <v>39</v>
      </c>
      <c r="D242" t="s">
        <v>161</v>
      </c>
      <c r="E242">
        <v>75</v>
      </c>
      <c r="F242" t="s">
        <v>162</v>
      </c>
      <c r="G242" t="s">
        <v>163</v>
      </c>
      <c r="I242" t="s">
        <v>48</v>
      </c>
      <c r="J242" t="s">
        <v>115</v>
      </c>
      <c r="K242" s="1">
        <v>45699</v>
      </c>
    </row>
    <row r="243" spans="1:11" x14ac:dyDescent="0.3">
      <c r="A243" t="s">
        <v>405</v>
      </c>
      <c r="B243" s="1">
        <v>45758</v>
      </c>
      <c r="C243" t="s">
        <v>43</v>
      </c>
      <c r="D243" t="s">
        <v>161</v>
      </c>
      <c r="E243">
        <v>488</v>
      </c>
      <c r="F243" t="s">
        <v>162</v>
      </c>
      <c r="G243" t="s">
        <v>163</v>
      </c>
      <c r="I243" t="s">
        <v>94</v>
      </c>
      <c r="J243" t="s">
        <v>121</v>
      </c>
      <c r="K243" s="1">
        <v>45680</v>
      </c>
    </row>
    <row r="244" spans="1:11" x14ac:dyDescent="0.3">
      <c r="A244" t="s">
        <v>406</v>
      </c>
      <c r="B244" s="1">
        <v>45740</v>
      </c>
      <c r="C244" t="s">
        <v>35</v>
      </c>
      <c r="D244" t="s">
        <v>166</v>
      </c>
      <c r="E244">
        <v>874</v>
      </c>
      <c r="F244" t="s">
        <v>162</v>
      </c>
      <c r="G244" t="s">
        <v>163</v>
      </c>
      <c r="I244" t="s">
        <v>74</v>
      </c>
      <c r="J244" t="s">
        <v>121</v>
      </c>
      <c r="K244" s="1">
        <v>45716</v>
      </c>
    </row>
    <row r="245" spans="1:11" x14ac:dyDescent="0.3">
      <c r="A245" t="s">
        <v>407</v>
      </c>
      <c r="B245" s="1">
        <v>45698</v>
      </c>
      <c r="C245" t="s">
        <v>29</v>
      </c>
      <c r="D245" t="s">
        <v>166</v>
      </c>
      <c r="E245">
        <v>400</v>
      </c>
      <c r="F245" t="s">
        <v>162</v>
      </c>
      <c r="G245" t="s">
        <v>163</v>
      </c>
      <c r="I245" t="s">
        <v>74</v>
      </c>
      <c r="J245" t="s">
        <v>139</v>
      </c>
      <c r="K245" s="1">
        <v>45706</v>
      </c>
    </row>
    <row r="246" spans="1:11" x14ac:dyDescent="0.3">
      <c r="A246" t="s">
        <v>408</v>
      </c>
      <c r="B246" s="1">
        <v>45805</v>
      </c>
      <c r="C246" t="s">
        <v>29</v>
      </c>
      <c r="D246" t="s">
        <v>166</v>
      </c>
      <c r="E246">
        <v>41</v>
      </c>
      <c r="F246" t="s">
        <v>162</v>
      </c>
      <c r="G246" t="s">
        <v>163</v>
      </c>
      <c r="I246" t="s">
        <v>100</v>
      </c>
      <c r="J246" t="s">
        <v>115</v>
      </c>
      <c r="K246" s="1">
        <v>45734</v>
      </c>
    </row>
    <row r="247" spans="1:11" x14ac:dyDescent="0.3">
      <c r="A247" t="s">
        <v>409</v>
      </c>
      <c r="B247" s="1">
        <v>45698</v>
      </c>
      <c r="C247" t="s">
        <v>27</v>
      </c>
      <c r="D247" t="s">
        <v>161</v>
      </c>
      <c r="E247">
        <v>902</v>
      </c>
      <c r="F247" t="s">
        <v>162</v>
      </c>
      <c r="G247" t="s">
        <v>163</v>
      </c>
      <c r="I247" t="s">
        <v>96</v>
      </c>
      <c r="J247" t="s">
        <v>115</v>
      </c>
      <c r="K247" s="1">
        <v>45769</v>
      </c>
    </row>
    <row r="248" spans="1:11" x14ac:dyDescent="0.3">
      <c r="A248" t="s">
        <v>410</v>
      </c>
      <c r="B248" s="1">
        <v>45663</v>
      </c>
      <c r="C248" t="s">
        <v>43</v>
      </c>
      <c r="D248" t="s">
        <v>166</v>
      </c>
      <c r="E248">
        <v>91</v>
      </c>
      <c r="F248" t="s">
        <v>162</v>
      </c>
      <c r="G248" t="s">
        <v>163</v>
      </c>
      <c r="I248" t="s">
        <v>57</v>
      </c>
      <c r="J248" t="s">
        <v>139</v>
      </c>
      <c r="K248" s="1">
        <v>45672</v>
      </c>
    </row>
    <row r="249" spans="1:11" x14ac:dyDescent="0.3">
      <c r="A249" t="s">
        <v>411</v>
      </c>
      <c r="B249" s="1">
        <v>45805</v>
      </c>
      <c r="C249" t="s">
        <v>29</v>
      </c>
      <c r="D249" t="s">
        <v>161</v>
      </c>
      <c r="E249">
        <v>329</v>
      </c>
      <c r="F249" t="s">
        <v>162</v>
      </c>
      <c r="G249" t="s">
        <v>163</v>
      </c>
      <c r="I249" t="s">
        <v>74</v>
      </c>
      <c r="J249" t="s">
        <v>127</v>
      </c>
      <c r="K249" s="1">
        <v>45817</v>
      </c>
    </row>
    <row r="250" spans="1:11" x14ac:dyDescent="0.3">
      <c r="A250" t="s">
        <v>412</v>
      </c>
      <c r="B250" s="1">
        <v>45737</v>
      </c>
      <c r="C250" t="s">
        <v>35</v>
      </c>
      <c r="D250" t="s">
        <v>166</v>
      </c>
      <c r="E250">
        <v>121</v>
      </c>
      <c r="F250" t="s">
        <v>162</v>
      </c>
      <c r="G250" t="s">
        <v>163</v>
      </c>
      <c r="I250" t="s">
        <v>72</v>
      </c>
      <c r="J250" t="s">
        <v>127</v>
      </c>
      <c r="K250" s="1">
        <v>45793</v>
      </c>
    </row>
    <row r="251" spans="1:11" x14ac:dyDescent="0.3">
      <c r="A251" t="s">
        <v>413</v>
      </c>
      <c r="B251" s="1">
        <v>45754</v>
      </c>
      <c r="C251" t="s">
        <v>35</v>
      </c>
      <c r="D251" t="s">
        <v>166</v>
      </c>
      <c r="E251">
        <v>936</v>
      </c>
      <c r="F251" t="s">
        <v>162</v>
      </c>
      <c r="G251" t="s">
        <v>163</v>
      </c>
      <c r="I251" t="s">
        <v>57</v>
      </c>
      <c r="J251" t="s">
        <v>133</v>
      </c>
      <c r="K251" s="1">
        <v>45799</v>
      </c>
    </row>
    <row r="252" spans="1:11" x14ac:dyDescent="0.3">
      <c r="A252" t="s">
        <v>414</v>
      </c>
      <c r="B252" s="1">
        <v>45817</v>
      </c>
      <c r="C252" t="s">
        <v>43</v>
      </c>
      <c r="D252" t="s">
        <v>161</v>
      </c>
      <c r="E252">
        <v>213</v>
      </c>
      <c r="F252" t="s">
        <v>162</v>
      </c>
      <c r="G252" t="s">
        <v>163</v>
      </c>
      <c r="I252" t="s">
        <v>90</v>
      </c>
      <c r="J252" t="s">
        <v>118</v>
      </c>
      <c r="K252" s="1">
        <v>45806</v>
      </c>
    </row>
    <row r="253" spans="1:11" x14ac:dyDescent="0.3">
      <c r="A253" t="s">
        <v>415</v>
      </c>
      <c r="B253" s="1">
        <v>45751</v>
      </c>
      <c r="C253" t="s">
        <v>35</v>
      </c>
      <c r="D253" t="s">
        <v>166</v>
      </c>
      <c r="E253">
        <v>546</v>
      </c>
      <c r="F253" t="s">
        <v>162</v>
      </c>
      <c r="G253" t="s">
        <v>163</v>
      </c>
      <c r="I253" t="s">
        <v>74</v>
      </c>
      <c r="J253" t="s">
        <v>121</v>
      </c>
      <c r="K253" s="1">
        <v>45740</v>
      </c>
    </row>
    <row r="254" spans="1:11" x14ac:dyDescent="0.3">
      <c r="A254" t="s">
        <v>416</v>
      </c>
      <c r="B254" s="1">
        <v>45714</v>
      </c>
      <c r="C254" t="s">
        <v>32</v>
      </c>
      <c r="D254" t="s">
        <v>166</v>
      </c>
      <c r="E254">
        <v>181</v>
      </c>
      <c r="F254" t="s">
        <v>162</v>
      </c>
      <c r="G254" t="s">
        <v>163</v>
      </c>
      <c r="I254" t="s">
        <v>110</v>
      </c>
      <c r="J254" t="s">
        <v>142</v>
      </c>
      <c r="K254" s="1">
        <v>45733</v>
      </c>
    </row>
    <row r="255" spans="1:11" x14ac:dyDescent="0.3">
      <c r="A255" t="s">
        <v>417</v>
      </c>
      <c r="B255" s="1">
        <v>45761</v>
      </c>
      <c r="C255" t="s">
        <v>35</v>
      </c>
      <c r="D255" t="s">
        <v>166</v>
      </c>
      <c r="E255">
        <v>777</v>
      </c>
      <c r="F255" t="s">
        <v>162</v>
      </c>
      <c r="G255" t="s">
        <v>163</v>
      </c>
      <c r="I255" t="s">
        <v>66</v>
      </c>
      <c r="J255" t="s">
        <v>124</v>
      </c>
      <c r="K255" s="1">
        <v>45824</v>
      </c>
    </row>
    <row r="256" spans="1:11" x14ac:dyDescent="0.3">
      <c r="A256" t="s">
        <v>418</v>
      </c>
      <c r="B256" s="1">
        <v>45821</v>
      </c>
      <c r="C256" t="s">
        <v>43</v>
      </c>
      <c r="D256" t="s">
        <v>161</v>
      </c>
      <c r="E256">
        <v>576</v>
      </c>
      <c r="F256" t="s">
        <v>162</v>
      </c>
      <c r="G256" t="s">
        <v>163</v>
      </c>
      <c r="I256" t="s">
        <v>100</v>
      </c>
      <c r="J256" t="s">
        <v>136</v>
      </c>
      <c r="K256" s="1">
        <v>45783</v>
      </c>
    </row>
    <row r="257" spans="1:11" x14ac:dyDescent="0.3">
      <c r="A257" t="s">
        <v>419</v>
      </c>
      <c r="B257" s="1">
        <v>45672</v>
      </c>
      <c r="C257" t="s">
        <v>35</v>
      </c>
      <c r="D257" t="s">
        <v>161</v>
      </c>
      <c r="E257">
        <v>880</v>
      </c>
      <c r="F257" t="s">
        <v>162</v>
      </c>
      <c r="G257" t="s">
        <v>163</v>
      </c>
      <c r="I257" t="s">
        <v>66</v>
      </c>
      <c r="J257" t="s">
        <v>127</v>
      </c>
      <c r="K257" s="1">
        <v>45681</v>
      </c>
    </row>
    <row r="258" spans="1:11" x14ac:dyDescent="0.3">
      <c r="A258" t="s">
        <v>420</v>
      </c>
      <c r="B258" s="1">
        <v>45687</v>
      </c>
      <c r="C258" t="s">
        <v>37</v>
      </c>
      <c r="D258" t="s">
        <v>166</v>
      </c>
      <c r="E258">
        <v>702</v>
      </c>
      <c r="F258" t="s">
        <v>162</v>
      </c>
      <c r="G258" t="s">
        <v>163</v>
      </c>
      <c r="I258" t="s">
        <v>100</v>
      </c>
      <c r="J258" t="s">
        <v>118</v>
      </c>
      <c r="K258" s="1">
        <v>45761</v>
      </c>
    </row>
    <row r="259" spans="1:11" x14ac:dyDescent="0.3">
      <c r="A259" t="s">
        <v>421</v>
      </c>
      <c r="B259" s="1">
        <v>45818</v>
      </c>
      <c r="C259" t="s">
        <v>32</v>
      </c>
      <c r="D259" t="s">
        <v>161</v>
      </c>
      <c r="E259">
        <v>285</v>
      </c>
      <c r="F259" t="s">
        <v>162</v>
      </c>
      <c r="G259" t="s">
        <v>163</v>
      </c>
      <c r="I259" t="s">
        <v>96</v>
      </c>
      <c r="J259" t="s">
        <v>139</v>
      </c>
      <c r="K259" s="1">
        <v>45734</v>
      </c>
    </row>
    <row r="260" spans="1:11" x14ac:dyDescent="0.3">
      <c r="A260" t="s">
        <v>422</v>
      </c>
      <c r="B260" s="1">
        <v>45757</v>
      </c>
      <c r="C260" t="s">
        <v>27</v>
      </c>
      <c r="D260" t="s">
        <v>161</v>
      </c>
      <c r="E260">
        <v>220</v>
      </c>
      <c r="F260" t="s">
        <v>162</v>
      </c>
      <c r="G260" t="s">
        <v>163</v>
      </c>
      <c r="I260" t="s">
        <v>106</v>
      </c>
      <c r="J260" t="s">
        <v>139</v>
      </c>
      <c r="K260" s="1">
        <v>45784</v>
      </c>
    </row>
    <row r="261" spans="1:11" x14ac:dyDescent="0.3">
      <c r="A261" t="s">
        <v>423</v>
      </c>
      <c r="B261" s="1">
        <v>45792</v>
      </c>
      <c r="C261" t="s">
        <v>27</v>
      </c>
      <c r="D261" t="s">
        <v>161</v>
      </c>
      <c r="E261">
        <v>376</v>
      </c>
      <c r="F261" t="s">
        <v>162</v>
      </c>
      <c r="G261" t="s">
        <v>163</v>
      </c>
      <c r="I261" t="s">
        <v>104</v>
      </c>
      <c r="J261" t="s">
        <v>121</v>
      </c>
      <c r="K261" s="1">
        <v>45733</v>
      </c>
    </row>
    <row r="262" spans="1:11" x14ac:dyDescent="0.3">
      <c r="A262" t="s">
        <v>424</v>
      </c>
      <c r="B262" s="1">
        <v>45820</v>
      </c>
      <c r="C262" t="s">
        <v>29</v>
      </c>
      <c r="D262" t="s">
        <v>166</v>
      </c>
      <c r="E262">
        <v>974</v>
      </c>
      <c r="F262" t="s">
        <v>162</v>
      </c>
      <c r="G262" t="s">
        <v>163</v>
      </c>
      <c r="I262" t="s">
        <v>51</v>
      </c>
      <c r="J262" t="s">
        <v>130</v>
      </c>
      <c r="K262" s="1">
        <v>45768</v>
      </c>
    </row>
    <row r="263" spans="1:11" x14ac:dyDescent="0.3">
      <c r="A263" t="s">
        <v>425</v>
      </c>
      <c r="B263" s="1">
        <v>45681</v>
      </c>
      <c r="C263" t="s">
        <v>37</v>
      </c>
      <c r="D263" t="s">
        <v>161</v>
      </c>
      <c r="E263">
        <v>763</v>
      </c>
      <c r="F263" t="s">
        <v>162</v>
      </c>
      <c r="G263" t="s">
        <v>163</v>
      </c>
      <c r="I263" t="s">
        <v>110</v>
      </c>
      <c r="J263" t="s">
        <v>130</v>
      </c>
      <c r="K263" s="1">
        <v>45737</v>
      </c>
    </row>
    <row r="264" spans="1:11" x14ac:dyDescent="0.3">
      <c r="A264" t="s">
        <v>426</v>
      </c>
      <c r="B264" s="1">
        <v>45814</v>
      </c>
      <c r="C264" t="s">
        <v>39</v>
      </c>
      <c r="D264" t="s">
        <v>166</v>
      </c>
      <c r="E264">
        <v>655</v>
      </c>
      <c r="F264" t="s">
        <v>162</v>
      </c>
      <c r="G264" t="s">
        <v>163</v>
      </c>
      <c r="I264" t="s">
        <v>57</v>
      </c>
      <c r="J264" t="s">
        <v>115</v>
      </c>
      <c r="K264" s="1">
        <v>45749</v>
      </c>
    </row>
    <row r="265" spans="1:11" x14ac:dyDescent="0.3">
      <c r="A265" t="s">
        <v>427</v>
      </c>
      <c r="B265" s="1">
        <v>45755</v>
      </c>
      <c r="C265" t="s">
        <v>29</v>
      </c>
      <c r="D265" t="s">
        <v>161</v>
      </c>
      <c r="E265">
        <v>983</v>
      </c>
      <c r="F265" t="s">
        <v>162</v>
      </c>
      <c r="G265" t="s">
        <v>163</v>
      </c>
      <c r="I265" t="s">
        <v>92</v>
      </c>
      <c r="J265" t="s">
        <v>142</v>
      </c>
      <c r="K265" s="1">
        <v>45713</v>
      </c>
    </row>
    <row r="266" spans="1:11" x14ac:dyDescent="0.3">
      <c r="A266" t="s">
        <v>428</v>
      </c>
      <c r="B266" s="1">
        <v>45687</v>
      </c>
      <c r="C266" t="s">
        <v>39</v>
      </c>
      <c r="D266" t="s">
        <v>161</v>
      </c>
      <c r="E266">
        <v>572</v>
      </c>
      <c r="F266" t="s">
        <v>162</v>
      </c>
      <c r="G266" t="s">
        <v>163</v>
      </c>
      <c r="I266" t="s">
        <v>96</v>
      </c>
      <c r="J266" t="s">
        <v>118</v>
      </c>
      <c r="K266" s="1">
        <v>45779</v>
      </c>
    </row>
    <row r="267" spans="1:11" x14ac:dyDescent="0.3">
      <c r="A267" t="s">
        <v>429</v>
      </c>
      <c r="B267" s="1">
        <v>45670</v>
      </c>
      <c r="C267" t="s">
        <v>32</v>
      </c>
      <c r="D267" t="s">
        <v>166</v>
      </c>
      <c r="E267">
        <v>88</v>
      </c>
      <c r="F267" t="s">
        <v>162</v>
      </c>
      <c r="G267" t="s">
        <v>163</v>
      </c>
      <c r="I267" t="s">
        <v>78</v>
      </c>
      <c r="J267" t="s">
        <v>133</v>
      </c>
      <c r="K267" s="1">
        <v>45730</v>
      </c>
    </row>
    <row r="268" spans="1:11" x14ac:dyDescent="0.3">
      <c r="A268" t="s">
        <v>430</v>
      </c>
      <c r="B268" s="1">
        <v>45705</v>
      </c>
      <c r="C268" t="s">
        <v>43</v>
      </c>
      <c r="D268" t="s">
        <v>166</v>
      </c>
      <c r="E268">
        <v>812</v>
      </c>
      <c r="F268" t="s">
        <v>162</v>
      </c>
      <c r="G268" t="s">
        <v>163</v>
      </c>
      <c r="I268" t="s">
        <v>80</v>
      </c>
      <c r="J268" t="s">
        <v>139</v>
      </c>
      <c r="K268" s="1">
        <v>45685</v>
      </c>
    </row>
    <row r="269" spans="1:11" x14ac:dyDescent="0.3">
      <c r="A269" t="s">
        <v>431</v>
      </c>
      <c r="B269" s="1">
        <v>45800</v>
      </c>
      <c r="C269" t="s">
        <v>43</v>
      </c>
      <c r="D269" t="s">
        <v>161</v>
      </c>
      <c r="E269">
        <v>338</v>
      </c>
      <c r="F269" t="s">
        <v>162</v>
      </c>
      <c r="G269" t="s">
        <v>163</v>
      </c>
      <c r="I269" t="s">
        <v>90</v>
      </c>
      <c r="J269" t="s">
        <v>136</v>
      </c>
      <c r="K269" s="1">
        <v>45674</v>
      </c>
    </row>
    <row r="270" spans="1:11" x14ac:dyDescent="0.3">
      <c r="A270" t="s">
        <v>432</v>
      </c>
      <c r="B270" s="1">
        <v>45838</v>
      </c>
      <c r="C270" t="s">
        <v>27</v>
      </c>
      <c r="D270" t="s">
        <v>166</v>
      </c>
      <c r="E270">
        <v>100</v>
      </c>
      <c r="F270" t="s">
        <v>162</v>
      </c>
      <c r="G270" t="s">
        <v>163</v>
      </c>
      <c r="I270" t="s">
        <v>48</v>
      </c>
      <c r="J270" t="s">
        <v>115</v>
      </c>
      <c r="K270" s="1">
        <v>45827</v>
      </c>
    </row>
    <row r="271" spans="1:11" x14ac:dyDescent="0.3">
      <c r="A271" t="s">
        <v>433</v>
      </c>
      <c r="B271" s="1">
        <v>45698</v>
      </c>
      <c r="C271" t="s">
        <v>37</v>
      </c>
      <c r="D271" t="s">
        <v>166</v>
      </c>
      <c r="E271">
        <v>940</v>
      </c>
      <c r="F271" t="s">
        <v>162</v>
      </c>
      <c r="G271" t="s">
        <v>163</v>
      </c>
      <c r="I271" t="s">
        <v>90</v>
      </c>
      <c r="J271" t="s">
        <v>127</v>
      </c>
      <c r="K271" s="1">
        <v>45658</v>
      </c>
    </row>
    <row r="272" spans="1:11" x14ac:dyDescent="0.3">
      <c r="A272" t="s">
        <v>434</v>
      </c>
      <c r="B272" s="1">
        <v>45761</v>
      </c>
      <c r="C272" t="s">
        <v>35</v>
      </c>
      <c r="D272" t="s">
        <v>161</v>
      </c>
      <c r="E272">
        <v>954</v>
      </c>
      <c r="F272" t="s">
        <v>162</v>
      </c>
      <c r="G272" t="s">
        <v>163</v>
      </c>
      <c r="I272" t="s">
        <v>64</v>
      </c>
      <c r="J272" t="s">
        <v>139</v>
      </c>
      <c r="K272" s="1">
        <v>45709</v>
      </c>
    </row>
    <row r="273" spans="1:11" x14ac:dyDescent="0.3">
      <c r="A273" t="s">
        <v>435</v>
      </c>
      <c r="B273" s="1">
        <v>45765</v>
      </c>
      <c r="C273" t="s">
        <v>43</v>
      </c>
      <c r="D273" t="s">
        <v>166</v>
      </c>
      <c r="E273">
        <v>777</v>
      </c>
      <c r="F273" t="s">
        <v>162</v>
      </c>
      <c r="G273" t="s">
        <v>163</v>
      </c>
      <c r="I273" t="s">
        <v>92</v>
      </c>
      <c r="J273" t="s">
        <v>127</v>
      </c>
      <c r="K273" s="1">
        <v>45825</v>
      </c>
    </row>
    <row r="274" spans="1:11" x14ac:dyDescent="0.3">
      <c r="A274" t="s">
        <v>436</v>
      </c>
      <c r="B274" s="1">
        <v>45709</v>
      </c>
      <c r="C274" t="s">
        <v>32</v>
      </c>
      <c r="D274" t="s">
        <v>161</v>
      </c>
      <c r="E274">
        <v>608</v>
      </c>
      <c r="F274" t="s">
        <v>162</v>
      </c>
      <c r="G274" t="s">
        <v>163</v>
      </c>
      <c r="I274" t="s">
        <v>70</v>
      </c>
      <c r="J274" t="s">
        <v>124</v>
      </c>
      <c r="K274" s="1">
        <v>45695</v>
      </c>
    </row>
    <row r="275" spans="1:11" x14ac:dyDescent="0.3">
      <c r="A275" t="s">
        <v>437</v>
      </c>
      <c r="B275" s="1">
        <v>45828</v>
      </c>
      <c r="C275" t="s">
        <v>37</v>
      </c>
      <c r="D275" t="s">
        <v>161</v>
      </c>
      <c r="E275">
        <v>689</v>
      </c>
      <c r="F275" t="s">
        <v>162</v>
      </c>
      <c r="G275" t="s">
        <v>163</v>
      </c>
      <c r="I275" t="s">
        <v>62</v>
      </c>
      <c r="J275" t="s">
        <v>139</v>
      </c>
      <c r="K275" s="1">
        <v>45673</v>
      </c>
    </row>
    <row r="276" spans="1:11" x14ac:dyDescent="0.3">
      <c r="A276" t="s">
        <v>438</v>
      </c>
      <c r="B276" s="1">
        <v>45721</v>
      </c>
      <c r="C276" t="s">
        <v>27</v>
      </c>
      <c r="D276" t="s">
        <v>166</v>
      </c>
      <c r="E276">
        <v>735</v>
      </c>
      <c r="F276" t="s">
        <v>162</v>
      </c>
      <c r="G276" t="s">
        <v>163</v>
      </c>
      <c r="I276" t="s">
        <v>84</v>
      </c>
      <c r="J276" t="s">
        <v>133</v>
      </c>
      <c r="K276" s="1">
        <v>45812</v>
      </c>
    </row>
    <row r="277" spans="1:11" x14ac:dyDescent="0.3">
      <c r="A277" t="s">
        <v>439</v>
      </c>
      <c r="B277" s="1">
        <v>45778</v>
      </c>
      <c r="C277" t="s">
        <v>37</v>
      </c>
      <c r="D277" t="s">
        <v>161</v>
      </c>
      <c r="E277">
        <v>386</v>
      </c>
      <c r="F277" t="s">
        <v>162</v>
      </c>
      <c r="G277" t="s">
        <v>163</v>
      </c>
      <c r="I277" t="s">
        <v>48</v>
      </c>
      <c r="J277" t="s">
        <v>124</v>
      </c>
      <c r="K277" s="1">
        <v>45818</v>
      </c>
    </row>
    <row r="278" spans="1:11" x14ac:dyDescent="0.3">
      <c r="A278" t="s">
        <v>440</v>
      </c>
      <c r="B278" s="1">
        <v>45686</v>
      </c>
      <c r="C278" t="s">
        <v>32</v>
      </c>
      <c r="D278" t="s">
        <v>161</v>
      </c>
      <c r="E278">
        <v>67</v>
      </c>
      <c r="F278" t="s">
        <v>162</v>
      </c>
      <c r="G278" t="s">
        <v>163</v>
      </c>
      <c r="I278" t="s">
        <v>106</v>
      </c>
      <c r="J278" t="s">
        <v>136</v>
      </c>
      <c r="K278" s="1">
        <v>45818</v>
      </c>
    </row>
    <row r="279" spans="1:11" x14ac:dyDescent="0.3">
      <c r="A279" t="s">
        <v>441</v>
      </c>
      <c r="B279" s="1">
        <v>45826</v>
      </c>
      <c r="C279" t="s">
        <v>41</v>
      </c>
      <c r="D279" t="s">
        <v>161</v>
      </c>
      <c r="E279">
        <v>937</v>
      </c>
      <c r="F279" t="s">
        <v>162</v>
      </c>
      <c r="G279" t="s">
        <v>163</v>
      </c>
      <c r="I279" t="s">
        <v>94</v>
      </c>
      <c r="J279" t="s">
        <v>124</v>
      </c>
      <c r="K279" s="1">
        <v>45805</v>
      </c>
    </row>
    <row r="280" spans="1:11" x14ac:dyDescent="0.3">
      <c r="A280" t="s">
        <v>442</v>
      </c>
      <c r="B280" s="1">
        <v>45728</v>
      </c>
      <c r="C280" t="s">
        <v>37</v>
      </c>
      <c r="D280" t="s">
        <v>166</v>
      </c>
      <c r="E280">
        <v>782</v>
      </c>
      <c r="F280" t="s">
        <v>162</v>
      </c>
      <c r="G280" t="s">
        <v>163</v>
      </c>
      <c r="I280" t="s">
        <v>54</v>
      </c>
      <c r="J280" t="s">
        <v>127</v>
      </c>
      <c r="K280" s="1">
        <v>45736</v>
      </c>
    </row>
    <row r="281" spans="1:11" x14ac:dyDescent="0.3">
      <c r="A281" t="s">
        <v>443</v>
      </c>
      <c r="B281" s="1">
        <v>45687</v>
      </c>
      <c r="C281" t="s">
        <v>43</v>
      </c>
      <c r="D281" t="s">
        <v>166</v>
      </c>
      <c r="E281">
        <v>880</v>
      </c>
      <c r="F281" t="s">
        <v>162</v>
      </c>
      <c r="G281" t="s">
        <v>163</v>
      </c>
      <c r="I281" t="s">
        <v>104</v>
      </c>
      <c r="J281" t="s">
        <v>139</v>
      </c>
      <c r="K281" s="1">
        <v>45770</v>
      </c>
    </row>
    <row r="282" spans="1:11" x14ac:dyDescent="0.3">
      <c r="A282" t="s">
        <v>444</v>
      </c>
      <c r="B282" s="1">
        <v>45754</v>
      </c>
      <c r="C282" t="s">
        <v>41</v>
      </c>
      <c r="D282" t="s">
        <v>161</v>
      </c>
      <c r="E282">
        <v>481</v>
      </c>
      <c r="F282" t="s">
        <v>162</v>
      </c>
      <c r="G282" t="s">
        <v>163</v>
      </c>
      <c r="I282" t="s">
        <v>54</v>
      </c>
      <c r="J282" t="s">
        <v>127</v>
      </c>
      <c r="K282" s="1">
        <v>45701</v>
      </c>
    </row>
    <row r="283" spans="1:11" x14ac:dyDescent="0.3">
      <c r="A283" t="s">
        <v>445</v>
      </c>
      <c r="B283" s="1">
        <v>45763</v>
      </c>
      <c r="C283" t="s">
        <v>32</v>
      </c>
      <c r="D283" t="s">
        <v>166</v>
      </c>
      <c r="E283">
        <v>726</v>
      </c>
      <c r="F283" t="s">
        <v>162</v>
      </c>
      <c r="G283" t="s">
        <v>163</v>
      </c>
      <c r="I283" t="s">
        <v>86</v>
      </c>
      <c r="J283" t="s">
        <v>130</v>
      </c>
      <c r="K283" s="1">
        <v>45812</v>
      </c>
    </row>
    <row r="284" spans="1:11" x14ac:dyDescent="0.3">
      <c r="A284" t="s">
        <v>446</v>
      </c>
      <c r="B284" s="1">
        <v>45835</v>
      </c>
      <c r="C284" t="s">
        <v>27</v>
      </c>
      <c r="D284" t="s">
        <v>161</v>
      </c>
      <c r="E284">
        <v>699</v>
      </c>
      <c r="F284" t="s">
        <v>162</v>
      </c>
      <c r="G284" t="s">
        <v>163</v>
      </c>
      <c r="I284" t="s">
        <v>68</v>
      </c>
      <c r="J284" t="s">
        <v>121</v>
      </c>
      <c r="K284" s="1">
        <v>45712</v>
      </c>
    </row>
    <row r="285" spans="1:11" x14ac:dyDescent="0.3">
      <c r="A285" t="s">
        <v>447</v>
      </c>
      <c r="B285" s="1">
        <v>45761</v>
      </c>
      <c r="C285" t="s">
        <v>39</v>
      </c>
      <c r="D285" t="s">
        <v>166</v>
      </c>
      <c r="E285">
        <v>289</v>
      </c>
      <c r="F285" t="s">
        <v>162</v>
      </c>
      <c r="G285" t="s">
        <v>163</v>
      </c>
      <c r="I285" t="s">
        <v>108</v>
      </c>
      <c r="J285" t="s">
        <v>136</v>
      </c>
      <c r="K285" s="1">
        <v>45824</v>
      </c>
    </row>
    <row r="286" spans="1:11" x14ac:dyDescent="0.3">
      <c r="A286" t="s">
        <v>448</v>
      </c>
      <c r="B286" s="1">
        <v>45734</v>
      </c>
      <c r="C286" t="s">
        <v>27</v>
      </c>
      <c r="D286" t="s">
        <v>166</v>
      </c>
      <c r="E286">
        <v>537</v>
      </c>
      <c r="F286" t="s">
        <v>162</v>
      </c>
      <c r="G286" t="s">
        <v>163</v>
      </c>
      <c r="I286" t="s">
        <v>88</v>
      </c>
      <c r="J286" t="s">
        <v>115</v>
      </c>
      <c r="K286" s="1">
        <v>45779</v>
      </c>
    </row>
    <row r="287" spans="1:11" x14ac:dyDescent="0.3">
      <c r="A287" t="s">
        <v>449</v>
      </c>
      <c r="B287" s="1">
        <v>45688</v>
      </c>
      <c r="C287" t="s">
        <v>32</v>
      </c>
      <c r="D287" t="s">
        <v>166</v>
      </c>
      <c r="E287">
        <v>66</v>
      </c>
      <c r="F287" t="s">
        <v>162</v>
      </c>
      <c r="G287" t="s">
        <v>163</v>
      </c>
      <c r="I287" t="s">
        <v>84</v>
      </c>
      <c r="J287" t="s">
        <v>130</v>
      </c>
      <c r="K287" s="1">
        <v>45826</v>
      </c>
    </row>
    <row r="288" spans="1:11" x14ac:dyDescent="0.3">
      <c r="A288" t="s">
        <v>450</v>
      </c>
      <c r="B288" s="1">
        <v>45800</v>
      </c>
      <c r="C288" t="s">
        <v>35</v>
      </c>
      <c r="D288" t="s">
        <v>161</v>
      </c>
      <c r="E288">
        <v>449</v>
      </c>
      <c r="F288" t="s">
        <v>162</v>
      </c>
      <c r="G288" t="s">
        <v>163</v>
      </c>
      <c r="I288" t="s">
        <v>66</v>
      </c>
      <c r="J288" t="s">
        <v>121</v>
      </c>
      <c r="K288" s="1">
        <v>45664</v>
      </c>
    </row>
    <row r="289" spans="1:11" x14ac:dyDescent="0.3">
      <c r="A289" t="s">
        <v>451</v>
      </c>
      <c r="B289" s="1">
        <v>45680</v>
      </c>
      <c r="C289" t="s">
        <v>35</v>
      </c>
      <c r="D289" t="s">
        <v>161</v>
      </c>
      <c r="E289">
        <v>540</v>
      </c>
      <c r="F289" t="s">
        <v>162</v>
      </c>
      <c r="G289" t="s">
        <v>163</v>
      </c>
      <c r="I289" t="s">
        <v>94</v>
      </c>
      <c r="J289" t="s">
        <v>118</v>
      </c>
      <c r="K289" s="1">
        <v>45792</v>
      </c>
    </row>
    <row r="290" spans="1:11" x14ac:dyDescent="0.3">
      <c r="A290" t="s">
        <v>452</v>
      </c>
      <c r="B290" s="1">
        <v>45761</v>
      </c>
      <c r="C290" t="s">
        <v>35</v>
      </c>
      <c r="D290" t="s">
        <v>166</v>
      </c>
      <c r="E290">
        <v>211</v>
      </c>
      <c r="F290" t="s">
        <v>162</v>
      </c>
      <c r="G290" t="s">
        <v>163</v>
      </c>
      <c r="I290" t="s">
        <v>68</v>
      </c>
      <c r="J290" t="s">
        <v>139</v>
      </c>
      <c r="K290" s="1">
        <v>45778</v>
      </c>
    </row>
    <row r="291" spans="1:11" x14ac:dyDescent="0.3">
      <c r="A291" t="s">
        <v>453</v>
      </c>
      <c r="B291" s="1">
        <v>45769</v>
      </c>
      <c r="C291" t="s">
        <v>27</v>
      </c>
      <c r="D291" t="s">
        <v>166</v>
      </c>
      <c r="E291">
        <v>16</v>
      </c>
      <c r="F291" t="s">
        <v>162</v>
      </c>
      <c r="G291" t="s">
        <v>163</v>
      </c>
      <c r="I291" t="s">
        <v>98</v>
      </c>
      <c r="J291" t="s">
        <v>142</v>
      </c>
      <c r="K291" s="1">
        <v>45715</v>
      </c>
    </row>
    <row r="292" spans="1:11" x14ac:dyDescent="0.3">
      <c r="A292" t="s">
        <v>454</v>
      </c>
      <c r="B292" s="1">
        <v>45680</v>
      </c>
      <c r="C292" t="s">
        <v>37</v>
      </c>
      <c r="D292" t="s">
        <v>161</v>
      </c>
      <c r="E292">
        <v>297</v>
      </c>
      <c r="F292" t="s">
        <v>162</v>
      </c>
      <c r="G292" t="s">
        <v>163</v>
      </c>
      <c r="I292" t="s">
        <v>62</v>
      </c>
      <c r="J292" t="s">
        <v>136</v>
      </c>
      <c r="K292" s="1">
        <v>45693</v>
      </c>
    </row>
    <row r="293" spans="1:11" x14ac:dyDescent="0.3">
      <c r="A293" t="s">
        <v>455</v>
      </c>
      <c r="B293" s="1">
        <v>45660</v>
      </c>
      <c r="C293" t="s">
        <v>41</v>
      </c>
      <c r="D293" t="s">
        <v>161</v>
      </c>
      <c r="E293">
        <v>989</v>
      </c>
      <c r="F293" t="s">
        <v>162</v>
      </c>
      <c r="G293" t="s">
        <v>163</v>
      </c>
      <c r="I293" t="s">
        <v>108</v>
      </c>
      <c r="J293" t="s">
        <v>121</v>
      </c>
      <c r="K293" s="1">
        <v>45805</v>
      </c>
    </row>
    <row r="294" spans="1:11" x14ac:dyDescent="0.3">
      <c r="A294" t="s">
        <v>456</v>
      </c>
      <c r="B294" s="1">
        <v>45693</v>
      </c>
      <c r="C294" t="s">
        <v>35</v>
      </c>
      <c r="D294" t="s">
        <v>166</v>
      </c>
      <c r="E294">
        <v>130</v>
      </c>
      <c r="F294" t="s">
        <v>162</v>
      </c>
      <c r="G294" t="s">
        <v>163</v>
      </c>
      <c r="I294" t="s">
        <v>106</v>
      </c>
      <c r="J294" t="s">
        <v>133</v>
      </c>
      <c r="K294" s="1">
        <v>45706</v>
      </c>
    </row>
    <row r="295" spans="1:11" x14ac:dyDescent="0.3">
      <c r="A295" t="s">
        <v>457</v>
      </c>
      <c r="B295" s="1">
        <v>45680</v>
      </c>
      <c r="C295" t="s">
        <v>37</v>
      </c>
      <c r="D295" t="s">
        <v>161</v>
      </c>
      <c r="E295">
        <v>919</v>
      </c>
      <c r="F295" t="s">
        <v>162</v>
      </c>
      <c r="G295" t="s">
        <v>163</v>
      </c>
      <c r="I295" t="s">
        <v>106</v>
      </c>
      <c r="J295" t="s">
        <v>115</v>
      </c>
      <c r="K295" s="1">
        <v>45722</v>
      </c>
    </row>
    <row r="296" spans="1:11" x14ac:dyDescent="0.3">
      <c r="A296" t="s">
        <v>458</v>
      </c>
      <c r="B296" s="1">
        <v>45692</v>
      </c>
      <c r="C296" t="s">
        <v>39</v>
      </c>
      <c r="D296" t="s">
        <v>166</v>
      </c>
      <c r="E296">
        <v>196</v>
      </c>
      <c r="F296" t="s">
        <v>162</v>
      </c>
      <c r="G296" t="s">
        <v>163</v>
      </c>
      <c r="I296" t="s">
        <v>74</v>
      </c>
      <c r="J296" t="s">
        <v>118</v>
      </c>
      <c r="K296" s="1">
        <v>45799</v>
      </c>
    </row>
    <row r="297" spans="1:11" x14ac:dyDescent="0.3">
      <c r="A297" t="s">
        <v>459</v>
      </c>
      <c r="B297" s="1">
        <v>45757</v>
      </c>
      <c r="C297" t="s">
        <v>37</v>
      </c>
      <c r="D297" t="s">
        <v>161</v>
      </c>
      <c r="E297">
        <v>925</v>
      </c>
      <c r="F297" t="s">
        <v>162</v>
      </c>
      <c r="G297" t="s">
        <v>163</v>
      </c>
      <c r="I297" t="s">
        <v>54</v>
      </c>
      <c r="J297" t="s">
        <v>127</v>
      </c>
      <c r="K297" s="1">
        <v>45686</v>
      </c>
    </row>
    <row r="298" spans="1:11" x14ac:dyDescent="0.3">
      <c r="A298" t="s">
        <v>460</v>
      </c>
      <c r="B298" s="1">
        <v>45796</v>
      </c>
      <c r="C298" t="s">
        <v>27</v>
      </c>
      <c r="D298" t="s">
        <v>166</v>
      </c>
      <c r="E298">
        <v>244</v>
      </c>
      <c r="F298" t="s">
        <v>162</v>
      </c>
      <c r="G298" t="s">
        <v>163</v>
      </c>
      <c r="I298" t="s">
        <v>51</v>
      </c>
      <c r="J298" t="s">
        <v>118</v>
      </c>
      <c r="K298" s="1">
        <v>45748</v>
      </c>
    </row>
    <row r="299" spans="1:11" x14ac:dyDescent="0.3">
      <c r="A299" t="s">
        <v>461</v>
      </c>
      <c r="B299" s="1">
        <v>45698</v>
      </c>
      <c r="C299" t="s">
        <v>32</v>
      </c>
      <c r="D299" t="s">
        <v>166</v>
      </c>
      <c r="E299">
        <v>635</v>
      </c>
      <c r="F299" t="s">
        <v>162</v>
      </c>
      <c r="G299" t="s">
        <v>163</v>
      </c>
      <c r="I299" t="s">
        <v>110</v>
      </c>
      <c r="J299" t="s">
        <v>115</v>
      </c>
      <c r="K299" s="1">
        <v>45827</v>
      </c>
    </row>
    <row r="300" spans="1:11" x14ac:dyDescent="0.3">
      <c r="A300" t="s">
        <v>462</v>
      </c>
      <c r="B300" s="1">
        <v>45727</v>
      </c>
      <c r="C300" t="s">
        <v>29</v>
      </c>
      <c r="D300" t="s">
        <v>161</v>
      </c>
      <c r="E300">
        <v>175</v>
      </c>
      <c r="F300" t="s">
        <v>162</v>
      </c>
      <c r="G300" t="s">
        <v>163</v>
      </c>
      <c r="I300" t="s">
        <v>100</v>
      </c>
      <c r="J300" t="s">
        <v>139</v>
      </c>
      <c r="K300" s="1">
        <v>45722</v>
      </c>
    </row>
    <row r="301" spans="1:11" x14ac:dyDescent="0.3">
      <c r="A301" t="s">
        <v>463</v>
      </c>
      <c r="B301" s="1">
        <v>45681</v>
      </c>
      <c r="C301" t="s">
        <v>41</v>
      </c>
      <c r="D301" t="s">
        <v>161</v>
      </c>
      <c r="E301">
        <v>448</v>
      </c>
      <c r="F301" t="s">
        <v>162</v>
      </c>
      <c r="G301" t="s">
        <v>163</v>
      </c>
      <c r="I301" t="s">
        <v>108</v>
      </c>
      <c r="J301" t="s">
        <v>136</v>
      </c>
      <c r="K301" s="1">
        <v>45827</v>
      </c>
    </row>
    <row r="302" spans="1:11" x14ac:dyDescent="0.3">
      <c r="A302" t="s">
        <v>464</v>
      </c>
      <c r="B302" s="1">
        <v>45807</v>
      </c>
      <c r="C302" t="s">
        <v>37</v>
      </c>
      <c r="D302" t="s">
        <v>161</v>
      </c>
      <c r="E302">
        <v>469</v>
      </c>
      <c r="F302" t="s">
        <v>162</v>
      </c>
      <c r="G302" t="s">
        <v>163</v>
      </c>
      <c r="I302" t="s">
        <v>92</v>
      </c>
      <c r="J302" t="s">
        <v>133</v>
      </c>
      <c r="K302" s="1">
        <v>45783</v>
      </c>
    </row>
    <row r="303" spans="1:11" x14ac:dyDescent="0.3">
      <c r="A303" t="s">
        <v>465</v>
      </c>
      <c r="B303" s="1">
        <v>45678</v>
      </c>
      <c r="C303" t="s">
        <v>29</v>
      </c>
      <c r="D303" t="s">
        <v>161</v>
      </c>
      <c r="E303">
        <v>220</v>
      </c>
      <c r="F303" t="s">
        <v>162</v>
      </c>
      <c r="G303" t="s">
        <v>163</v>
      </c>
      <c r="I303" t="s">
        <v>82</v>
      </c>
      <c r="J303" t="s">
        <v>124</v>
      </c>
      <c r="K303" s="1">
        <v>45791</v>
      </c>
    </row>
    <row r="304" spans="1:11" x14ac:dyDescent="0.3">
      <c r="A304" t="s">
        <v>466</v>
      </c>
      <c r="B304" s="1">
        <v>45754</v>
      </c>
      <c r="C304" t="s">
        <v>37</v>
      </c>
      <c r="D304" t="s">
        <v>161</v>
      </c>
      <c r="E304">
        <v>269</v>
      </c>
      <c r="F304" t="s">
        <v>162</v>
      </c>
      <c r="G304" t="s">
        <v>163</v>
      </c>
      <c r="I304" t="s">
        <v>86</v>
      </c>
      <c r="J304" t="s">
        <v>130</v>
      </c>
      <c r="K304" s="1">
        <v>45686</v>
      </c>
    </row>
    <row r="305" spans="1:11" x14ac:dyDescent="0.3">
      <c r="A305" t="s">
        <v>467</v>
      </c>
      <c r="B305" s="1">
        <v>45792</v>
      </c>
      <c r="C305" t="s">
        <v>41</v>
      </c>
      <c r="D305" t="s">
        <v>166</v>
      </c>
      <c r="E305">
        <v>977</v>
      </c>
      <c r="F305" t="s">
        <v>162</v>
      </c>
      <c r="G305" t="s">
        <v>163</v>
      </c>
      <c r="I305" t="s">
        <v>70</v>
      </c>
      <c r="J305" t="s">
        <v>124</v>
      </c>
      <c r="K305" s="1">
        <v>45677</v>
      </c>
    </row>
    <row r="306" spans="1:11" x14ac:dyDescent="0.3">
      <c r="A306" t="s">
        <v>468</v>
      </c>
      <c r="B306" s="1">
        <v>45750</v>
      </c>
      <c r="C306" t="s">
        <v>39</v>
      </c>
      <c r="D306" t="s">
        <v>161</v>
      </c>
      <c r="E306">
        <v>405</v>
      </c>
      <c r="F306" t="s">
        <v>162</v>
      </c>
      <c r="G306" t="s">
        <v>163</v>
      </c>
      <c r="I306" t="s">
        <v>108</v>
      </c>
      <c r="J306" t="s">
        <v>130</v>
      </c>
      <c r="K306" s="1">
        <v>45680</v>
      </c>
    </row>
    <row r="307" spans="1:11" x14ac:dyDescent="0.3">
      <c r="A307" t="s">
        <v>469</v>
      </c>
      <c r="B307" s="1">
        <v>45755</v>
      </c>
      <c r="C307" t="s">
        <v>29</v>
      </c>
      <c r="D307" t="s">
        <v>166</v>
      </c>
      <c r="E307">
        <v>380</v>
      </c>
      <c r="F307" t="s">
        <v>162</v>
      </c>
      <c r="G307" t="s">
        <v>163</v>
      </c>
      <c r="I307" t="s">
        <v>62</v>
      </c>
      <c r="J307" t="s">
        <v>118</v>
      </c>
      <c r="K307" s="1">
        <v>45756</v>
      </c>
    </row>
    <row r="308" spans="1:11" x14ac:dyDescent="0.3">
      <c r="A308" t="s">
        <v>470</v>
      </c>
      <c r="B308" s="1">
        <v>45691</v>
      </c>
      <c r="C308" t="s">
        <v>29</v>
      </c>
      <c r="D308" t="s">
        <v>161</v>
      </c>
      <c r="E308">
        <v>879</v>
      </c>
      <c r="F308" t="s">
        <v>162</v>
      </c>
      <c r="G308" t="s">
        <v>163</v>
      </c>
      <c r="I308" t="s">
        <v>82</v>
      </c>
      <c r="J308" t="s">
        <v>124</v>
      </c>
      <c r="K308" s="1">
        <v>45733</v>
      </c>
    </row>
    <row r="309" spans="1:11" x14ac:dyDescent="0.3">
      <c r="A309" t="s">
        <v>471</v>
      </c>
      <c r="B309" s="1">
        <v>45831</v>
      </c>
      <c r="C309" t="s">
        <v>27</v>
      </c>
      <c r="D309" t="s">
        <v>161</v>
      </c>
      <c r="E309">
        <v>720</v>
      </c>
      <c r="F309" t="s">
        <v>162</v>
      </c>
      <c r="G309" t="s">
        <v>163</v>
      </c>
      <c r="I309" t="s">
        <v>48</v>
      </c>
      <c r="J309" t="s">
        <v>130</v>
      </c>
      <c r="K309" s="1">
        <v>45790</v>
      </c>
    </row>
    <row r="310" spans="1:11" x14ac:dyDescent="0.3">
      <c r="A310" t="s">
        <v>472</v>
      </c>
      <c r="B310" s="1">
        <v>45819</v>
      </c>
      <c r="C310" t="s">
        <v>39</v>
      </c>
      <c r="D310" t="s">
        <v>166</v>
      </c>
      <c r="E310">
        <v>614</v>
      </c>
      <c r="F310" t="s">
        <v>162</v>
      </c>
      <c r="G310" t="s">
        <v>163</v>
      </c>
      <c r="I310" t="s">
        <v>108</v>
      </c>
      <c r="J310" t="s">
        <v>133</v>
      </c>
      <c r="K310" s="1">
        <v>45733</v>
      </c>
    </row>
    <row r="311" spans="1:11" x14ac:dyDescent="0.3">
      <c r="A311" t="s">
        <v>473</v>
      </c>
      <c r="B311" s="1">
        <v>45797</v>
      </c>
      <c r="C311" t="s">
        <v>39</v>
      </c>
      <c r="D311" t="s">
        <v>166</v>
      </c>
      <c r="E311">
        <v>270</v>
      </c>
      <c r="F311" t="s">
        <v>162</v>
      </c>
      <c r="G311" t="s">
        <v>163</v>
      </c>
      <c r="I311" t="s">
        <v>98</v>
      </c>
      <c r="J311" t="s">
        <v>118</v>
      </c>
      <c r="K311" s="1">
        <v>45726</v>
      </c>
    </row>
    <row r="312" spans="1:11" x14ac:dyDescent="0.3">
      <c r="A312" t="s">
        <v>474</v>
      </c>
      <c r="B312" s="1">
        <v>45666</v>
      </c>
      <c r="C312" t="s">
        <v>29</v>
      </c>
      <c r="D312" t="s">
        <v>161</v>
      </c>
      <c r="E312">
        <v>648</v>
      </c>
      <c r="F312" t="s">
        <v>162</v>
      </c>
      <c r="G312" t="s">
        <v>163</v>
      </c>
      <c r="I312" t="s">
        <v>66</v>
      </c>
      <c r="J312" t="s">
        <v>115</v>
      </c>
      <c r="K312" s="1">
        <v>45665</v>
      </c>
    </row>
    <row r="313" spans="1:11" x14ac:dyDescent="0.3">
      <c r="A313" t="s">
        <v>475</v>
      </c>
      <c r="B313" s="1">
        <v>45807</v>
      </c>
      <c r="C313" t="s">
        <v>35</v>
      </c>
      <c r="D313" t="s">
        <v>166</v>
      </c>
      <c r="E313">
        <v>121</v>
      </c>
      <c r="F313" t="s">
        <v>162</v>
      </c>
      <c r="G313" t="s">
        <v>163</v>
      </c>
      <c r="I313" t="s">
        <v>78</v>
      </c>
      <c r="J313" t="s">
        <v>142</v>
      </c>
      <c r="K313" s="1">
        <v>45763</v>
      </c>
    </row>
    <row r="314" spans="1:11" x14ac:dyDescent="0.3">
      <c r="A314" t="s">
        <v>476</v>
      </c>
      <c r="B314" s="1">
        <v>45812</v>
      </c>
      <c r="C314" t="s">
        <v>41</v>
      </c>
      <c r="D314" t="s">
        <v>161</v>
      </c>
      <c r="E314">
        <v>259</v>
      </c>
      <c r="F314" t="s">
        <v>162</v>
      </c>
      <c r="G314" t="s">
        <v>163</v>
      </c>
      <c r="I314" t="s">
        <v>100</v>
      </c>
      <c r="J314" t="s">
        <v>130</v>
      </c>
      <c r="K314" s="1">
        <v>45779</v>
      </c>
    </row>
    <row r="315" spans="1:11" x14ac:dyDescent="0.3">
      <c r="A315" t="s">
        <v>477</v>
      </c>
      <c r="B315" s="1">
        <v>45670</v>
      </c>
      <c r="C315" t="s">
        <v>35</v>
      </c>
      <c r="D315" t="s">
        <v>161</v>
      </c>
      <c r="E315">
        <v>313</v>
      </c>
      <c r="F315" t="s">
        <v>162</v>
      </c>
      <c r="G315" t="s">
        <v>163</v>
      </c>
      <c r="I315" t="s">
        <v>68</v>
      </c>
      <c r="J315" t="s">
        <v>124</v>
      </c>
      <c r="K315" s="1">
        <v>45708</v>
      </c>
    </row>
    <row r="316" spans="1:11" x14ac:dyDescent="0.3">
      <c r="A316" t="s">
        <v>478</v>
      </c>
      <c r="B316" s="1">
        <v>45765</v>
      </c>
      <c r="C316" t="s">
        <v>32</v>
      </c>
      <c r="D316" t="s">
        <v>161</v>
      </c>
      <c r="E316">
        <v>629</v>
      </c>
      <c r="F316" t="s">
        <v>162</v>
      </c>
      <c r="G316" t="s">
        <v>163</v>
      </c>
      <c r="I316" t="s">
        <v>78</v>
      </c>
      <c r="J316" t="s">
        <v>115</v>
      </c>
      <c r="K316" s="1">
        <v>45772</v>
      </c>
    </row>
    <row r="317" spans="1:11" x14ac:dyDescent="0.3">
      <c r="A317" t="s">
        <v>479</v>
      </c>
      <c r="B317" s="1">
        <v>45695</v>
      </c>
      <c r="C317" t="s">
        <v>32</v>
      </c>
      <c r="D317" t="s">
        <v>166</v>
      </c>
      <c r="E317">
        <v>222</v>
      </c>
      <c r="F317" t="s">
        <v>162</v>
      </c>
      <c r="G317" t="s">
        <v>163</v>
      </c>
      <c r="I317" t="s">
        <v>92</v>
      </c>
      <c r="J317" t="s">
        <v>133</v>
      </c>
      <c r="K317" s="1">
        <v>45798</v>
      </c>
    </row>
    <row r="318" spans="1:11" x14ac:dyDescent="0.3">
      <c r="A318" t="s">
        <v>480</v>
      </c>
      <c r="B318" s="1">
        <v>45699</v>
      </c>
      <c r="C318" t="s">
        <v>37</v>
      </c>
      <c r="D318" t="s">
        <v>166</v>
      </c>
      <c r="E318">
        <v>31</v>
      </c>
      <c r="F318" t="s">
        <v>162</v>
      </c>
      <c r="G318" t="s">
        <v>163</v>
      </c>
      <c r="I318" t="s">
        <v>54</v>
      </c>
      <c r="J318" t="s">
        <v>124</v>
      </c>
      <c r="K318" s="1">
        <v>45824</v>
      </c>
    </row>
    <row r="319" spans="1:11" x14ac:dyDescent="0.3">
      <c r="A319" t="s">
        <v>481</v>
      </c>
      <c r="B319" s="1">
        <v>45659</v>
      </c>
      <c r="C319" t="s">
        <v>32</v>
      </c>
      <c r="D319" t="s">
        <v>161</v>
      </c>
      <c r="E319">
        <v>722</v>
      </c>
      <c r="F319" t="s">
        <v>162</v>
      </c>
      <c r="G319" t="s">
        <v>163</v>
      </c>
      <c r="I319" t="s">
        <v>110</v>
      </c>
      <c r="J319" t="s">
        <v>139</v>
      </c>
      <c r="K319" s="1">
        <v>45740</v>
      </c>
    </row>
    <row r="320" spans="1:11" x14ac:dyDescent="0.3">
      <c r="A320" t="s">
        <v>482</v>
      </c>
      <c r="B320" s="1">
        <v>45798</v>
      </c>
      <c r="C320" t="s">
        <v>35</v>
      </c>
      <c r="D320" t="s">
        <v>161</v>
      </c>
      <c r="E320">
        <v>767</v>
      </c>
      <c r="F320" t="s">
        <v>162</v>
      </c>
      <c r="G320" t="s">
        <v>163</v>
      </c>
      <c r="I320" t="s">
        <v>57</v>
      </c>
      <c r="J320" t="s">
        <v>121</v>
      </c>
      <c r="K320" s="1">
        <v>45784</v>
      </c>
    </row>
    <row r="321" spans="1:11" x14ac:dyDescent="0.3">
      <c r="A321" t="s">
        <v>483</v>
      </c>
      <c r="B321" s="1">
        <v>45702</v>
      </c>
      <c r="C321" t="s">
        <v>35</v>
      </c>
      <c r="D321" t="s">
        <v>161</v>
      </c>
      <c r="E321">
        <v>519</v>
      </c>
      <c r="F321" t="s">
        <v>162</v>
      </c>
      <c r="G321" t="s">
        <v>163</v>
      </c>
      <c r="I321" t="s">
        <v>100</v>
      </c>
      <c r="J321" t="s">
        <v>124</v>
      </c>
      <c r="K321" s="1">
        <v>45685</v>
      </c>
    </row>
    <row r="322" spans="1:11" x14ac:dyDescent="0.3">
      <c r="A322" t="s">
        <v>484</v>
      </c>
      <c r="B322" s="1">
        <v>45825</v>
      </c>
      <c r="C322" t="s">
        <v>41</v>
      </c>
      <c r="D322" t="s">
        <v>161</v>
      </c>
      <c r="E322">
        <v>96</v>
      </c>
      <c r="F322" t="s">
        <v>162</v>
      </c>
      <c r="G322" t="s">
        <v>163</v>
      </c>
      <c r="I322" t="s">
        <v>80</v>
      </c>
      <c r="J322" t="s">
        <v>130</v>
      </c>
      <c r="K322" s="1">
        <v>45786</v>
      </c>
    </row>
    <row r="323" spans="1:11" x14ac:dyDescent="0.3">
      <c r="A323" t="s">
        <v>485</v>
      </c>
      <c r="B323" s="1">
        <v>45721</v>
      </c>
      <c r="C323" t="s">
        <v>43</v>
      </c>
      <c r="D323" t="s">
        <v>166</v>
      </c>
      <c r="E323">
        <v>287</v>
      </c>
      <c r="F323" t="s">
        <v>162</v>
      </c>
      <c r="G323" t="s">
        <v>163</v>
      </c>
      <c r="I323" t="s">
        <v>66</v>
      </c>
      <c r="J323" t="s">
        <v>142</v>
      </c>
      <c r="K323" s="1">
        <v>45779</v>
      </c>
    </row>
    <row r="324" spans="1:11" x14ac:dyDescent="0.3">
      <c r="A324" t="s">
        <v>486</v>
      </c>
      <c r="B324" s="1">
        <v>45733</v>
      </c>
      <c r="C324" t="s">
        <v>32</v>
      </c>
      <c r="D324" t="s">
        <v>161</v>
      </c>
      <c r="E324">
        <v>430</v>
      </c>
      <c r="F324" t="s">
        <v>162</v>
      </c>
      <c r="G324" t="s">
        <v>163</v>
      </c>
      <c r="I324" t="s">
        <v>102</v>
      </c>
      <c r="J324" t="s">
        <v>115</v>
      </c>
      <c r="K324" s="1">
        <v>45757</v>
      </c>
    </row>
    <row r="325" spans="1:11" x14ac:dyDescent="0.3">
      <c r="A325" t="s">
        <v>487</v>
      </c>
      <c r="B325" s="1">
        <v>45729</v>
      </c>
      <c r="C325" t="s">
        <v>27</v>
      </c>
      <c r="D325" t="s">
        <v>161</v>
      </c>
      <c r="E325">
        <v>383</v>
      </c>
      <c r="F325" t="s">
        <v>162</v>
      </c>
      <c r="G325" t="s">
        <v>163</v>
      </c>
      <c r="I325" t="s">
        <v>74</v>
      </c>
      <c r="J325" t="s">
        <v>118</v>
      </c>
      <c r="K325" s="1">
        <v>45793</v>
      </c>
    </row>
    <row r="326" spans="1:11" x14ac:dyDescent="0.3">
      <c r="A326" t="s">
        <v>488</v>
      </c>
      <c r="B326" s="1">
        <v>45776</v>
      </c>
      <c r="C326" t="s">
        <v>35</v>
      </c>
      <c r="D326" t="s">
        <v>166</v>
      </c>
      <c r="E326">
        <v>206</v>
      </c>
      <c r="F326" t="s">
        <v>162</v>
      </c>
      <c r="G326" t="s">
        <v>163</v>
      </c>
      <c r="I326" t="s">
        <v>70</v>
      </c>
      <c r="J326" t="s">
        <v>121</v>
      </c>
      <c r="K326" s="1">
        <v>45791</v>
      </c>
    </row>
    <row r="327" spans="1:11" x14ac:dyDescent="0.3">
      <c r="A327" t="s">
        <v>489</v>
      </c>
      <c r="B327" s="1">
        <v>45671</v>
      </c>
      <c r="C327" t="s">
        <v>29</v>
      </c>
      <c r="D327" t="s">
        <v>166</v>
      </c>
      <c r="E327">
        <v>978</v>
      </c>
      <c r="F327" t="s">
        <v>162</v>
      </c>
      <c r="G327" t="s">
        <v>163</v>
      </c>
      <c r="I327" t="s">
        <v>74</v>
      </c>
      <c r="J327" t="s">
        <v>133</v>
      </c>
      <c r="K327" s="1">
        <v>45691</v>
      </c>
    </row>
    <row r="328" spans="1:11" x14ac:dyDescent="0.3">
      <c r="A328" t="s">
        <v>490</v>
      </c>
      <c r="B328" s="1">
        <v>45672</v>
      </c>
      <c r="C328" t="s">
        <v>43</v>
      </c>
      <c r="D328" t="s">
        <v>161</v>
      </c>
      <c r="E328">
        <v>455</v>
      </c>
      <c r="F328" t="s">
        <v>162</v>
      </c>
      <c r="G328" t="s">
        <v>163</v>
      </c>
      <c r="I328" t="s">
        <v>74</v>
      </c>
      <c r="J328" t="s">
        <v>121</v>
      </c>
      <c r="K328" s="1">
        <v>45747</v>
      </c>
    </row>
    <row r="329" spans="1:11" x14ac:dyDescent="0.3">
      <c r="A329" t="s">
        <v>491</v>
      </c>
      <c r="B329" s="1">
        <v>45706</v>
      </c>
      <c r="C329" t="s">
        <v>27</v>
      </c>
      <c r="D329" t="s">
        <v>166</v>
      </c>
      <c r="E329">
        <v>854</v>
      </c>
      <c r="F329" t="s">
        <v>162</v>
      </c>
      <c r="G329" t="s">
        <v>163</v>
      </c>
      <c r="I329" t="s">
        <v>90</v>
      </c>
      <c r="J329" t="s">
        <v>124</v>
      </c>
      <c r="K329" s="1">
        <v>45748</v>
      </c>
    </row>
    <row r="330" spans="1:11" x14ac:dyDescent="0.3">
      <c r="A330" t="s">
        <v>492</v>
      </c>
      <c r="B330" s="1">
        <v>45762</v>
      </c>
      <c r="C330" t="s">
        <v>29</v>
      </c>
      <c r="D330" t="s">
        <v>161</v>
      </c>
      <c r="E330">
        <v>449</v>
      </c>
      <c r="F330" t="s">
        <v>162</v>
      </c>
      <c r="G330" t="s">
        <v>163</v>
      </c>
      <c r="I330" t="s">
        <v>64</v>
      </c>
      <c r="J330" t="s">
        <v>121</v>
      </c>
      <c r="K330" s="1">
        <v>45833</v>
      </c>
    </row>
    <row r="331" spans="1:11" x14ac:dyDescent="0.3">
      <c r="A331" t="s">
        <v>493</v>
      </c>
      <c r="B331" s="1">
        <v>45743</v>
      </c>
      <c r="C331" t="s">
        <v>35</v>
      </c>
      <c r="D331" t="s">
        <v>161</v>
      </c>
      <c r="E331">
        <v>249</v>
      </c>
      <c r="F331" t="s">
        <v>162</v>
      </c>
      <c r="G331" t="s">
        <v>163</v>
      </c>
      <c r="I331" t="s">
        <v>88</v>
      </c>
      <c r="J331" t="s">
        <v>139</v>
      </c>
      <c r="K331" s="1">
        <v>45659</v>
      </c>
    </row>
    <row r="332" spans="1:11" x14ac:dyDescent="0.3">
      <c r="A332" t="s">
        <v>494</v>
      </c>
      <c r="B332" s="1">
        <v>45824</v>
      </c>
      <c r="C332" t="s">
        <v>43</v>
      </c>
      <c r="D332" t="s">
        <v>166</v>
      </c>
      <c r="E332">
        <v>301</v>
      </c>
      <c r="F332" t="s">
        <v>162</v>
      </c>
      <c r="G332" t="s">
        <v>163</v>
      </c>
      <c r="I332" t="s">
        <v>78</v>
      </c>
      <c r="J332" t="s">
        <v>133</v>
      </c>
      <c r="K332" s="1">
        <v>45705</v>
      </c>
    </row>
    <row r="333" spans="1:11" x14ac:dyDescent="0.3">
      <c r="A333" t="s">
        <v>495</v>
      </c>
      <c r="B333" s="1">
        <v>45702</v>
      </c>
      <c r="C333" t="s">
        <v>27</v>
      </c>
      <c r="D333" t="s">
        <v>161</v>
      </c>
      <c r="E333">
        <v>285</v>
      </c>
      <c r="F333" t="s">
        <v>162</v>
      </c>
      <c r="G333" t="s">
        <v>163</v>
      </c>
      <c r="I333" t="s">
        <v>106</v>
      </c>
      <c r="J333" t="s">
        <v>121</v>
      </c>
      <c r="K333" s="1">
        <v>45831</v>
      </c>
    </row>
    <row r="334" spans="1:11" x14ac:dyDescent="0.3">
      <c r="A334" t="s">
        <v>496</v>
      </c>
      <c r="B334" s="1">
        <v>45764</v>
      </c>
      <c r="C334" t="s">
        <v>27</v>
      </c>
      <c r="D334" t="s">
        <v>166</v>
      </c>
      <c r="E334">
        <v>94</v>
      </c>
      <c r="F334" t="s">
        <v>162</v>
      </c>
      <c r="G334" t="s">
        <v>163</v>
      </c>
      <c r="I334" t="s">
        <v>84</v>
      </c>
      <c r="J334" t="s">
        <v>124</v>
      </c>
      <c r="K334" s="1">
        <v>45749</v>
      </c>
    </row>
    <row r="335" spans="1:11" x14ac:dyDescent="0.3">
      <c r="A335" t="s">
        <v>497</v>
      </c>
      <c r="B335" s="1">
        <v>45818</v>
      </c>
      <c r="C335" t="s">
        <v>35</v>
      </c>
      <c r="D335" t="s">
        <v>161</v>
      </c>
      <c r="E335">
        <v>108</v>
      </c>
      <c r="F335" t="s">
        <v>162</v>
      </c>
      <c r="G335" t="s">
        <v>163</v>
      </c>
      <c r="I335" t="s">
        <v>80</v>
      </c>
      <c r="J335" t="s">
        <v>136</v>
      </c>
      <c r="K335" s="1">
        <v>45719</v>
      </c>
    </row>
    <row r="336" spans="1:11" x14ac:dyDescent="0.3">
      <c r="A336" t="s">
        <v>498</v>
      </c>
      <c r="B336" s="1">
        <v>45708</v>
      </c>
      <c r="C336" t="s">
        <v>37</v>
      </c>
      <c r="D336" t="s">
        <v>161</v>
      </c>
      <c r="E336">
        <v>128</v>
      </c>
      <c r="F336" t="s">
        <v>162</v>
      </c>
      <c r="G336" t="s">
        <v>163</v>
      </c>
      <c r="I336" t="s">
        <v>88</v>
      </c>
      <c r="J336" t="s">
        <v>124</v>
      </c>
      <c r="K336" s="1">
        <v>45834</v>
      </c>
    </row>
    <row r="337" spans="1:11" x14ac:dyDescent="0.3">
      <c r="A337" t="s">
        <v>499</v>
      </c>
      <c r="B337" s="1">
        <v>45813</v>
      </c>
      <c r="C337" t="s">
        <v>29</v>
      </c>
      <c r="D337" t="s">
        <v>166</v>
      </c>
      <c r="E337">
        <v>247</v>
      </c>
      <c r="F337" t="s">
        <v>162</v>
      </c>
      <c r="G337" t="s">
        <v>163</v>
      </c>
      <c r="I337" t="s">
        <v>96</v>
      </c>
      <c r="J337" t="s">
        <v>127</v>
      </c>
      <c r="K337" s="1">
        <v>45733</v>
      </c>
    </row>
    <row r="338" spans="1:11" x14ac:dyDescent="0.3">
      <c r="A338" t="s">
        <v>500</v>
      </c>
      <c r="B338" s="1">
        <v>45828</v>
      </c>
      <c r="C338" t="s">
        <v>37</v>
      </c>
      <c r="D338" t="s">
        <v>166</v>
      </c>
      <c r="E338">
        <v>263</v>
      </c>
      <c r="F338" t="s">
        <v>162</v>
      </c>
      <c r="G338" t="s">
        <v>163</v>
      </c>
      <c r="I338" t="s">
        <v>80</v>
      </c>
      <c r="J338" t="s">
        <v>142</v>
      </c>
      <c r="K338" s="1">
        <v>45694</v>
      </c>
    </row>
    <row r="339" spans="1:11" x14ac:dyDescent="0.3">
      <c r="A339" t="s">
        <v>501</v>
      </c>
      <c r="B339" s="1">
        <v>45783</v>
      </c>
      <c r="C339" t="s">
        <v>39</v>
      </c>
      <c r="D339" t="s">
        <v>166</v>
      </c>
      <c r="E339">
        <v>936</v>
      </c>
      <c r="F339" t="s">
        <v>162</v>
      </c>
      <c r="G339" t="s">
        <v>163</v>
      </c>
      <c r="I339" t="s">
        <v>66</v>
      </c>
      <c r="J339" t="s">
        <v>139</v>
      </c>
      <c r="K339" s="1">
        <v>45673</v>
      </c>
    </row>
    <row r="340" spans="1:11" x14ac:dyDescent="0.3">
      <c r="A340" t="s">
        <v>502</v>
      </c>
      <c r="B340" s="1">
        <v>45791</v>
      </c>
      <c r="C340" t="s">
        <v>39</v>
      </c>
      <c r="D340" t="s">
        <v>161</v>
      </c>
      <c r="E340">
        <v>866</v>
      </c>
      <c r="F340" t="s">
        <v>162</v>
      </c>
      <c r="G340" t="s">
        <v>163</v>
      </c>
      <c r="I340" t="s">
        <v>64</v>
      </c>
      <c r="J340" t="s">
        <v>115</v>
      </c>
      <c r="K340" s="1">
        <v>45720</v>
      </c>
    </row>
    <row r="341" spans="1:11" x14ac:dyDescent="0.3">
      <c r="A341" t="s">
        <v>503</v>
      </c>
      <c r="B341" s="1">
        <v>45743</v>
      </c>
      <c r="C341" t="s">
        <v>29</v>
      </c>
      <c r="D341" t="s">
        <v>161</v>
      </c>
      <c r="E341">
        <v>974</v>
      </c>
      <c r="F341" t="s">
        <v>162</v>
      </c>
      <c r="G341" t="s">
        <v>163</v>
      </c>
      <c r="I341" t="s">
        <v>82</v>
      </c>
      <c r="J341" t="s">
        <v>139</v>
      </c>
      <c r="K341" s="1">
        <v>45789</v>
      </c>
    </row>
    <row r="342" spans="1:11" x14ac:dyDescent="0.3">
      <c r="A342" t="s">
        <v>504</v>
      </c>
      <c r="B342" s="1">
        <v>45826</v>
      </c>
      <c r="C342" t="s">
        <v>35</v>
      </c>
      <c r="D342" t="s">
        <v>161</v>
      </c>
      <c r="E342">
        <v>853</v>
      </c>
      <c r="F342" t="s">
        <v>162</v>
      </c>
      <c r="G342" t="s">
        <v>163</v>
      </c>
      <c r="I342" t="s">
        <v>78</v>
      </c>
      <c r="J342" t="s">
        <v>136</v>
      </c>
      <c r="K342" s="1">
        <v>45754</v>
      </c>
    </row>
    <row r="343" spans="1:11" x14ac:dyDescent="0.3">
      <c r="A343" t="s">
        <v>505</v>
      </c>
      <c r="B343" s="1">
        <v>45721</v>
      </c>
      <c r="C343" t="s">
        <v>43</v>
      </c>
      <c r="D343" t="s">
        <v>161</v>
      </c>
      <c r="E343">
        <v>799</v>
      </c>
      <c r="F343" t="s">
        <v>162</v>
      </c>
      <c r="G343" t="s">
        <v>163</v>
      </c>
      <c r="I343" t="s">
        <v>72</v>
      </c>
      <c r="J343" t="s">
        <v>121</v>
      </c>
      <c r="K343" s="1">
        <v>45733</v>
      </c>
    </row>
    <row r="344" spans="1:11" x14ac:dyDescent="0.3">
      <c r="A344" t="s">
        <v>506</v>
      </c>
      <c r="B344" s="1">
        <v>45762</v>
      </c>
      <c r="C344" t="s">
        <v>35</v>
      </c>
      <c r="D344" t="s">
        <v>166</v>
      </c>
      <c r="E344">
        <v>895</v>
      </c>
      <c r="F344" t="s">
        <v>162</v>
      </c>
      <c r="G344" t="s">
        <v>163</v>
      </c>
      <c r="I344" t="s">
        <v>64</v>
      </c>
      <c r="J344" t="s">
        <v>133</v>
      </c>
      <c r="K344" s="1">
        <v>45833</v>
      </c>
    </row>
    <row r="345" spans="1:11" x14ac:dyDescent="0.3">
      <c r="A345" t="s">
        <v>507</v>
      </c>
      <c r="B345" s="1">
        <v>45743</v>
      </c>
      <c r="C345" t="s">
        <v>32</v>
      </c>
      <c r="D345" t="s">
        <v>166</v>
      </c>
      <c r="E345">
        <v>32</v>
      </c>
      <c r="F345" t="s">
        <v>162</v>
      </c>
      <c r="G345" t="s">
        <v>163</v>
      </c>
      <c r="I345" t="s">
        <v>92</v>
      </c>
      <c r="J345" t="s">
        <v>136</v>
      </c>
      <c r="K345" s="1">
        <v>45685</v>
      </c>
    </row>
    <row r="346" spans="1:11" x14ac:dyDescent="0.3">
      <c r="A346" t="s">
        <v>508</v>
      </c>
      <c r="B346" s="1">
        <v>45814</v>
      </c>
      <c r="C346" t="s">
        <v>35</v>
      </c>
      <c r="D346" t="s">
        <v>166</v>
      </c>
      <c r="E346">
        <v>53</v>
      </c>
      <c r="F346" t="s">
        <v>162</v>
      </c>
      <c r="G346" t="s">
        <v>163</v>
      </c>
      <c r="I346" t="s">
        <v>78</v>
      </c>
      <c r="J346" t="s">
        <v>124</v>
      </c>
      <c r="K346" s="1">
        <v>45694</v>
      </c>
    </row>
    <row r="347" spans="1:11" x14ac:dyDescent="0.3">
      <c r="A347" t="s">
        <v>509</v>
      </c>
      <c r="B347" s="1">
        <v>45807</v>
      </c>
      <c r="C347" t="s">
        <v>39</v>
      </c>
      <c r="D347" t="s">
        <v>161</v>
      </c>
      <c r="E347">
        <v>228</v>
      </c>
      <c r="F347" t="s">
        <v>162</v>
      </c>
      <c r="G347" t="s">
        <v>163</v>
      </c>
      <c r="I347" t="s">
        <v>100</v>
      </c>
      <c r="J347" t="s">
        <v>115</v>
      </c>
      <c r="K347" s="1">
        <v>45666</v>
      </c>
    </row>
    <row r="348" spans="1:11" x14ac:dyDescent="0.3">
      <c r="A348" t="s">
        <v>510</v>
      </c>
      <c r="B348" s="1">
        <v>45672</v>
      </c>
      <c r="C348" t="s">
        <v>41</v>
      </c>
      <c r="D348" t="s">
        <v>166</v>
      </c>
      <c r="E348">
        <v>879</v>
      </c>
      <c r="F348" t="s">
        <v>162</v>
      </c>
      <c r="G348" t="s">
        <v>163</v>
      </c>
      <c r="I348" t="s">
        <v>68</v>
      </c>
      <c r="J348" t="s">
        <v>127</v>
      </c>
      <c r="K348" s="1">
        <v>45796</v>
      </c>
    </row>
    <row r="349" spans="1:11" x14ac:dyDescent="0.3">
      <c r="A349" t="s">
        <v>511</v>
      </c>
      <c r="B349" s="1">
        <v>45713</v>
      </c>
      <c r="C349" t="s">
        <v>35</v>
      </c>
      <c r="D349" t="s">
        <v>166</v>
      </c>
      <c r="E349">
        <v>796</v>
      </c>
      <c r="F349" t="s">
        <v>162</v>
      </c>
      <c r="G349" t="s">
        <v>163</v>
      </c>
      <c r="I349" t="s">
        <v>94</v>
      </c>
      <c r="J349" t="s">
        <v>127</v>
      </c>
      <c r="K349" s="1">
        <v>45705</v>
      </c>
    </row>
    <row r="350" spans="1:11" x14ac:dyDescent="0.3">
      <c r="A350" t="s">
        <v>512</v>
      </c>
      <c r="B350" s="1">
        <v>45665</v>
      </c>
      <c r="C350" t="s">
        <v>32</v>
      </c>
      <c r="D350" t="s">
        <v>166</v>
      </c>
      <c r="E350">
        <v>793</v>
      </c>
      <c r="F350" t="s">
        <v>162</v>
      </c>
      <c r="G350" t="s">
        <v>163</v>
      </c>
      <c r="I350" t="s">
        <v>98</v>
      </c>
      <c r="J350" t="s">
        <v>115</v>
      </c>
      <c r="K350" s="1">
        <v>45749</v>
      </c>
    </row>
    <row r="351" spans="1:11" x14ac:dyDescent="0.3">
      <c r="A351" t="s">
        <v>513</v>
      </c>
      <c r="B351" s="1">
        <v>45756</v>
      </c>
      <c r="C351" t="s">
        <v>32</v>
      </c>
      <c r="D351" t="s">
        <v>166</v>
      </c>
      <c r="E351">
        <v>887</v>
      </c>
      <c r="F351" t="s">
        <v>162</v>
      </c>
      <c r="G351" t="s">
        <v>163</v>
      </c>
      <c r="I351" t="s">
        <v>78</v>
      </c>
      <c r="J351" t="s">
        <v>127</v>
      </c>
      <c r="K351" s="1">
        <v>45671</v>
      </c>
    </row>
    <row r="352" spans="1:11" x14ac:dyDescent="0.3">
      <c r="A352" t="s">
        <v>514</v>
      </c>
      <c r="B352" s="1">
        <v>45691</v>
      </c>
      <c r="C352" t="s">
        <v>41</v>
      </c>
      <c r="D352" t="s">
        <v>161</v>
      </c>
      <c r="E352">
        <v>320</v>
      </c>
      <c r="F352" t="s">
        <v>162</v>
      </c>
      <c r="G352" t="s">
        <v>163</v>
      </c>
      <c r="I352" t="s">
        <v>88</v>
      </c>
      <c r="J352" t="s">
        <v>124</v>
      </c>
      <c r="K352" s="1">
        <v>45820</v>
      </c>
    </row>
    <row r="353" spans="1:11" x14ac:dyDescent="0.3">
      <c r="A353" t="s">
        <v>515</v>
      </c>
      <c r="B353" s="1">
        <v>45688</v>
      </c>
      <c r="C353" t="s">
        <v>41</v>
      </c>
      <c r="D353" t="s">
        <v>161</v>
      </c>
      <c r="E353">
        <v>604</v>
      </c>
      <c r="F353" t="s">
        <v>162</v>
      </c>
      <c r="G353" t="s">
        <v>163</v>
      </c>
      <c r="I353" t="s">
        <v>78</v>
      </c>
      <c r="J353" t="s">
        <v>142</v>
      </c>
      <c r="K353" s="1">
        <v>45832</v>
      </c>
    </row>
    <row r="354" spans="1:11" x14ac:dyDescent="0.3">
      <c r="A354" t="s">
        <v>516</v>
      </c>
      <c r="B354" s="1">
        <v>45835</v>
      </c>
      <c r="C354" t="s">
        <v>32</v>
      </c>
      <c r="D354" t="s">
        <v>166</v>
      </c>
      <c r="E354">
        <v>711</v>
      </c>
      <c r="F354" t="s">
        <v>162</v>
      </c>
      <c r="G354" t="s">
        <v>163</v>
      </c>
      <c r="I354" t="s">
        <v>66</v>
      </c>
      <c r="J354" t="s">
        <v>142</v>
      </c>
      <c r="K354" s="1">
        <v>45720</v>
      </c>
    </row>
    <row r="355" spans="1:11" x14ac:dyDescent="0.3">
      <c r="A355" t="s">
        <v>517</v>
      </c>
      <c r="B355" s="1">
        <v>45679</v>
      </c>
      <c r="C355" t="s">
        <v>29</v>
      </c>
      <c r="D355" t="s">
        <v>161</v>
      </c>
      <c r="E355">
        <v>432</v>
      </c>
      <c r="F355" t="s">
        <v>162</v>
      </c>
      <c r="G355" t="s">
        <v>163</v>
      </c>
      <c r="I355" t="s">
        <v>51</v>
      </c>
      <c r="J355" t="s">
        <v>121</v>
      </c>
      <c r="K355" s="1">
        <v>45720</v>
      </c>
    </row>
    <row r="356" spans="1:11" x14ac:dyDescent="0.3">
      <c r="A356" t="s">
        <v>518</v>
      </c>
      <c r="B356" s="1">
        <v>45799</v>
      </c>
      <c r="C356" t="s">
        <v>29</v>
      </c>
      <c r="D356" t="s">
        <v>166</v>
      </c>
      <c r="E356">
        <v>913</v>
      </c>
      <c r="F356" t="s">
        <v>162</v>
      </c>
      <c r="G356" t="s">
        <v>163</v>
      </c>
      <c r="I356" t="s">
        <v>68</v>
      </c>
      <c r="J356" t="s">
        <v>127</v>
      </c>
      <c r="K356" s="1">
        <v>45686</v>
      </c>
    </row>
    <row r="357" spans="1:11" x14ac:dyDescent="0.3">
      <c r="A357" t="s">
        <v>519</v>
      </c>
      <c r="B357" s="1">
        <v>45800</v>
      </c>
      <c r="C357" t="s">
        <v>29</v>
      </c>
      <c r="D357" t="s">
        <v>161</v>
      </c>
      <c r="E357">
        <v>988</v>
      </c>
      <c r="F357" t="s">
        <v>162</v>
      </c>
      <c r="G357" t="s">
        <v>163</v>
      </c>
      <c r="I357" t="s">
        <v>64</v>
      </c>
      <c r="J357" t="s">
        <v>115</v>
      </c>
      <c r="K357" s="1">
        <v>45663</v>
      </c>
    </row>
    <row r="358" spans="1:11" x14ac:dyDescent="0.3">
      <c r="A358" t="s">
        <v>520</v>
      </c>
      <c r="B358" s="1">
        <v>45751</v>
      </c>
      <c r="C358" t="s">
        <v>27</v>
      </c>
      <c r="D358" t="s">
        <v>161</v>
      </c>
      <c r="E358">
        <v>707</v>
      </c>
      <c r="F358" t="s">
        <v>162</v>
      </c>
      <c r="G358" t="s">
        <v>163</v>
      </c>
      <c r="I358" t="s">
        <v>72</v>
      </c>
      <c r="J358" t="s">
        <v>136</v>
      </c>
      <c r="K358" s="1">
        <v>45825</v>
      </c>
    </row>
    <row r="359" spans="1:11" x14ac:dyDescent="0.3">
      <c r="A359" t="s">
        <v>521</v>
      </c>
      <c r="B359" s="1">
        <v>45818</v>
      </c>
      <c r="C359" t="s">
        <v>27</v>
      </c>
      <c r="D359" t="s">
        <v>166</v>
      </c>
      <c r="E359">
        <v>783</v>
      </c>
      <c r="F359" t="s">
        <v>162</v>
      </c>
      <c r="G359" t="s">
        <v>163</v>
      </c>
      <c r="I359" t="s">
        <v>54</v>
      </c>
      <c r="J359" t="s">
        <v>142</v>
      </c>
      <c r="K359" s="1">
        <v>45758</v>
      </c>
    </row>
    <row r="360" spans="1:11" x14ac:dyDescent="0.3">
      <c r="A360" t="s">
        <v>522</v>
      </c>
      <c r="B360" s="1">
        <v>45798</v>
      </c>
      <c r="C360" t="s">
        <v>43</v>
      </c>
      <c r="D360" t="s">
        <v>166</v>
      </c>
      <c r="E360">
        <v>349</v>
      </c>
      <c r="F360" t="s">
        <v>162</v>
      </c>
      <c r="G360" t="s">
        <v>163</v>
      </c>
      <c r="I360" t="s">
        <v>57</v>
      </c>
      <c r="J360" t="s">
        <v>130</v>
      </c>
      <c r="K360" s="1">
        <v>45708</v>
      </c>
    </row>
    <row r="361" spans="1:11" x14ac:dyDescent="0.3">
      <c r="A361" t="s">
        <v>523</v>
      </c>
      <c r="B361" s="1">
        <v>45730</v>
      </c>
      <c r="C361" t="s">
        <v>39</v>
      </c>
      <c r="D361" t="s">
        <v>166</v>
      </c>
      <c r="E361">
        <v>666</v>
      </c>
      <c r="F361" t="s">
        <v>162</v>
      </c>
      <c r="G361" t="s">
        <v>163</v>
      </c>
      <c r="I361" t="s">
        <v>100</v>
      </c>
      <c r="J361" t="s">
        <v>139</v>
      </c>
      <c r="K361" s="1">
        <v>45805</v>
      </c>
    </row>
    <row r="362" spans="1:11" x14ac:dyDescent="0.3">
      <c r="A362" t="s">
        <v>524</v>
      </c>
      <c r="B362" s="1">
        <v>45663</v>
      </c>
      <c r="C362" t="s">
        <v>41</v>
      </c>
      <c r="D362" t="s">
        <v>166</v>
      </c>
      <c r="E362">
        <v>685</v>
      </c>
      <c r="F362" t="s">
        <v>162</v>
      </c>
      <c r="G362" t="s">
        <v>163</v>
      </c>
      <c r="I362" t="s">
        <v>66</v>
      </c>
      <c r="J362" t="s">
        <v>118</v>
      </c>
      <c r="K362" s="1">
        <v>45713</v>
      </c>
    </row>
    <row r="363" spans="1:11" x14ac:dyDescent="0.3">
      <c r="A363" t="s">
        <v>525</v>
      </c>
      <c r="B363" s="1">
        <v>45677</v>
      </c>
      <c r="C363" t="s">
        <v>35</v>
      </c>
      <c r="D363" t="s">
        <v>161</v>
      </c>
      <c r="E363">
        <v>65</v>
      </c>
      <c r="F363" t="s">
        <v>162</v>
      </c>
      <c r="G363" t="s">
        <v>163</v>
      </c>
      <c r="I363" t="s">
        <v>54</v>
      </c>
      <c r="J363" t="s">
        <v>115</v>
      </c>
      <c r="K363" s="1">
        <v>45814</v>
      </c>
    </row>
    <row r="364" spans="1:11" x14ac:dyDescent="0.3">
      <c r="A364" t="s">
        <v>526</v>
      </c>
      <c r="B364" s="1">
        <v>45684</v>
      </c>
      <c r="C364" t="s">
        <v>39</v>
      </c>
      <c r="D364" t="s">
        <v>166</v>
      </c>
      <c r="E364">
        <v>362</v>
      </c>
      <c r="F364" t="s">
        <v>162</v>
      </c>
      <c r="G364" t="s">
        <v>163</v>
      </c>
      <c r="I364" t="s">
        <v>98</v>
      </c>
      <c r="J364" t="s">
        <v>127</v>
      </c>
      <c r="K364" s="1">
        <v>45825</v>
      </c>
    </row>
    <row r="365" spans="1:11" x14ac:dyDescent="0.3">
      <c r="A365" t="s">
        <v>527</v>
      </c>
      <c r="B365" s="1">
        <v>45826</v>
      </c>
      <c r="C365" t="s">
        <v>43</v>
      </c>
      <c r="D365" t="s">
        <v>161</v>
      </c>
      <c r="E365">
        <v>393</v>
      </c>
      <c r="F365" t="s">
        <v>162</v>
      </c>
      <c r="G365" t="s">
        <v>163</v>
      </c>
      <c r="I365" t="s">
        <v>84</v>
      </c>
      <c r="J365" t="s">
        <v>127</v>
      </c>
      <c r="K365" s="1">
        <v>45776</v>
      </c>
    </row>
    <row r="366" spans="1:11" x14ac:dyDescent="0.3">
      <c r="A366" t="s">
        <v>528</v>
      </c>
      <c r="B366" s="1">
        <v>45673</v>
      </c>
      <c r="C366" t="s">
        <v>41</v>
      </c>
      <c r="D366" t="s">
        <v>166</v>
      </c>
      <c r="E366">
        <v>165</v>
      </c>
      <c r="F366" t="s">
        <v>162</v>
      </c>
      <c r="G366" t="s">
        <v>163</v>
      </c>
      <c r="I366" t="s">
        <v>98</v>
      </c>
      <c r="J366" t="s">
        <v>127</v>
      </c>
      <c r="K366" s="1">
        <v>45785</v>
      </c>
    </row>
    <row r="367" spans="1:11" x14ac:dyDescent="0.3">
      <c r="A367" t="s">
        <v>529</v>
      </c>
      <c r="B367" s="1">
        <v>45826</v>
      </c>
      <c r="C367" t="s">
        <v>41</v>
      </c>
      <c r="D367" t="s">
        <v>161</v>
      </c>
      <c r="E367">
        <v>747</v>
      </c>
      <c r="F367" t="s">
        <v>162</v>
      </c>
      <c r="G367" t="s">
        <v>163</v>
      </c>
      <c r="I367" t="s">
        <v>92</v>
      </c>
      <c r="J367" t="s">
        <v>133</v>
      </c>
      <c r="K367" s="1">
        <v>45686</v>
      </c>
    </row>
    <row r="368" spans="1:11" x14ac:dyDescent="0.3">
      <c r="A368" t="s">
        <v>530</v>
      </c>
      <c r="B368" s="1">
        <v>45688</v>
      </c>
      <c r="C368" t="s">
        <v>43</v>
      </c>
      <c r="D368" t="s">
        <v>166</v>
      </c>
      <c r="E368">
        <v>164</v>
      </c>
      <c r="F368" t="s">
        <v>162</v>
      </c>
      <c r="G368" t="s">
        <v>163</v>
      </c>
      <c r="I368" t="s">
        <v>66</v>
      </c>
      <c r="J368" t="s">
        <v>115</v>
      </c>
      <c r="K368" s="1">
        <v>45700</v>
      </c>
    </row>
    <row r="369" spans="1:11" x14ac:dyDescent="0.3">
      <c r="A369" t="s">
        <v>531</v>
      </c>
      <c r="B369" s="1">
        <v>45832</v>
      </c>
      <c r="C369" t="s">
        <v>41</v>
      </c>
      <c r="D369" t="s">
        <v>161</v>
      </c>
      <c r="E369">
        <v>88</v>
      </c>
      <c r="F369" t="s">
        <v>162</v>
      </c>
      <c r="G369" t="s">
        <v>163</v>
      </c>
      <c r="I369" t="s">
        <v>98</v>
      </c>
      <c r="J369" t="s">
        <v>124</v>
      </c>
      <c r="K369" s="1">
        <v>45764</v>
      </c>
    </row>
    <row r="370" spans="1:11" x14ac:dyDescent="0.3">
      <c r="A370" t="s">
        <v>532</v>
      </c>
      <c r="B370" s="1">
        <v>45805</v>
      </c>
      <c r="C370" t="s">
        <v>29</v>
      </c>
      <c r="D370" t="s">
        <v>161</v>
      </c>
      <c r="E370">
        <v>202</v>
      </c>
      <c r="F370" t="s">
        <v>162</v>
      </c>
      <c r="G370" t="s">
        <v>163</v>
      </c>
      <c r="I370" t="s">
        <v>88</v>
      </c>
      <c r="J370" t="s">
        <v>139</v>
      </c>
      <c r="K370" s="1">
        <v>45700</v>
      </c>
    </row>
    <row r="371" spans="1:11" x14ac:dyDescent="0.3">
      <c r="A371" t="s">
        <v>533</v>
      </c>
      <c r="B371" s="1">
        <v>45707</v>
      </c>
      <c r="C371" t="s">
        <v>27</v>
      </c>
      <c r="D371" t="s">
        <v>166</v>
      </c>
      <c r="E371">
        <v>573</v>
      </c>
      <c r="F371" t="s">
        <v>162</v>
      </c>
      <c r="G371" t="s">
        <v>163</v>
      </c>
      <c r="I371" t="s">
        <v>110</v>
      </c>
      <c r="J371" t="s">
        <v>136</v>
      </c>
      <c r="K371" s="1">
        <v>45679</v>
      </c>
    </row>
    <row r="372" spans="1:11" x14ac:dyDescent="0.3">
      <c r="A372" t="s">
        <v>534</v>
      </c>
      <c r="B372" s="1">
        <v>45835</v>
      </c>
      <c r="C372" t="s">
        <v>37</v>
      </c>
      <c r="D372" t="s">
        <v>166</v>
      </c>
      <c r="E372">
        <v>296</v>
      </c>
      <c r="F372" t="s">
        <v>162</v>
      </c>
      <c r="G372" t="s">
        <v>163</v>
      </c>
      <c r="I372" t="s">
        <v>104</v>
      </c>
      <c r="J372" t="s">
        <v>130</v>
      </c>
      <c r="K372" s="1">
        <v>45786</v>
      </c>
    </row>
    <row r="373" spans="1:11" x14ac:dyDescent="0.3">
      <c r="A373" t="s">
        <v>535</v>
      </c>
      <c r="B373" s="1">
        <v>45750</v>
      </c>
      <c r="C373" t="s">
        <v>43</v>
      </c>
      <c r="D373" t="s">
        <v>161</v>
      </c>
      <c r="E373">
        <v>65</v>
      </c>
      <c r="F373" t="s">
        <v>162</v>
      </c>
      <c r="G373" t="s">
        <v>163</v>
      </c>
      <c r="I373" t="s">
        <v>94</v>
      </c>
      <c r="J373" t="s">
        <v>118</v>
      </c>
      <c r="K373" s="1">
        <v>45678</v>
      </c>
    </row>
    <row r="374" spans="1:11" x14ac:dyDescent="0.3">
      <c r="A374" t="s">
        <v>536</v>
      </c>
      <c r="B374" s="1">
        <v>45722</v>
      </c>
      <c r="C374" t="s">
        <v>32</v>
      </c>
      <c r="D374" t="s">
        <v>166</v>
      </c>
      <c r="E374">
        <v>66</v>
      </c>
      <c r="F374" t="s">
        <v>162</v>
      </c>
      <c r="G374" t="s">
        <v>163</v>
      </c>
      <c r="I374" t="s">
        <v>80</v>
      </c>
      <c r="J374" t="s">
        <v>133</v>
      </c>
      <c r="K374" s="1">
        <v>45666</v>
      </c>
    </row>
    <row r="375" spans="1:11" x14ac:dyDescent="0.3">
      <c r="A375" t="s">
        <v>537</v>
      </c>
      <c r="B375" s="1">
        <v>45789</v>
      </c>
      <c r="C375" t="s">
        <v>39</v>
      </c>
      <c r="D375" t="s">
        <v>166</v>
      </c>
      <c r="E375">
        <v>819</v>
      </c>
      <c r="F375" t="s">
        <v>162</v>
      </c>
      <c r="G375" t="s">
        <v>163</v>
      </c>
      <c r="I375" t="s">
        <v>76</v>
      </c>
      <c r="J375" t="s">
        <v>133</v>
      </c>
      <c r="K375" s="1">
        <v>45658</v>
      </c>
    </row>
    <row r="376" spans="1:11" x14ac:dyDescent="0.3">
      <c r="A376" t="s">
        <v>538</v>
      </c>
      <c r="B376" s="1">
        <v>45742</v>
      </c>
      <c r="C376" t="s">
        <v>37</v>
      </c>
      <c r="D376" t="s">
        <v>161</v>
      </c>
      <c r="E376">
        <v>480</v>
      </c>
      <c r="F376" t="s">
        <v>162</v>
      </c>
      <c r="G376" t="s">
        <v>163</v>
      </c>
      <c r="I376" t="s">
        <v>88</v>
      </c>
      <c r="J376" t="s">
        <v>142</v>
      </c>
      <c r="K376" s="1">
        <v>45733</v>
      </c>
    </row>
    <row r="377" spans="1:11" x14ac:dyDescent="0.3">
      <c r="A377" t="s">
        <v>539</v>
      </c>
      <c r="B377" s="1">
        <v>45792</v>
      </c>
      <c r="C377" t="s">
        <v>32</v>
      </c>
      <c r="D377" t="s">
        <v>166</v>
      </c>
      <c r="E377">
        <v>801</v>
      </c>
      <c r="F377" t="s">
        <v>162</v>
      </c>
      <c r="G377" t="s">
        <v>163</v>
      </c>
      <c r="I377" t="s">
        <v>90</v>
      </c>
      <c r="J377" t="s">
        <v>121</v>
      </c>
      <c r="K377" s="1">
        <v>45714</v>
      </c>
    </row>
    <row r="378" spans="1:11" x14ac:dyDescent="0.3">
      <c r="A378" t="s">
        <v>540</v>
      </c>
      <c r="B378" s="1">
        <v>45691</v>
      </c>
      <c r="C378" t="s">
        <v>43</v>
      </c>
      <c r="D378" t="s">
        <v>166</v>
      </c>
      <c r="E378">
        <v>726</v>
      </c>
      <c r="F378" t="s">
        <v>162</v>
      </c>
      <c r="G378" t="s">
        <v>163</v>
      </c>
      <c r="I378" t="s">
        <v>100</v>
      </c>
      <c r="J378" t="s">
        <v>133</v>
      </c>
      <c r="K378" s="1">
        <v>45723</v>
      </c>
    </row>
    <row r="379" spans="1:11" x14ac:dyDescent="0.3">
      <c r="A379" t="s">
        <v>541</v>
      </c>
      <c r="B379" s="1">
        <v>45716</v>
      </c>
      <c r="C379" t="s">
        <v>27</v>
      </c>
      <c r="D379" t="s">
        <v>166</v>
      </c>
      <c r="E379">
        <v>550</v>
      </c>
      <c r="F379" t="s">
        <v>162</v>
      </c>
      <c r="G379" t="s">
        <v>163</v>
      </c>
      <c r="I379" t="s">
        <v>94</v>
      </c>
      <c r="J379" t="s">
        <v>121</v>
      </c>
      <c r="K379" s="1">
        <v>45680</v>
      </c>
    </row>
    <row r="380" spans="1:11" x14ac:dyDescent="0.3">
      <c r="A380" t="s">
        <v>542</v>
      </c>
      <c r="B380" s="1">
        <v>45715</v>
      </c>
      <c r="C380" t="s">
        <v>37</v>
      </c>
      <c r="D380" t="s">
        <v>166</v>
      </c>
      <c r="E380">
        <v>871</v>
      </c>
      <c r="F380" t="s">
        <v>162</v>
      </c>
      <c r="G380" t="s">
        <v>163</v>
      </c>
      <c r="I380" t="s">
        <v>106</v>
      </c>
      <c r="J380" t="s">
        <v>115</v>
      </c>
      <c r="K380" s="1">
        <v>45810</v>
      </c>
    </row>
    <row r="381" spans="1:11" x14ac:dyDescent="0.3">
      <c r="A381" t="s">
        <v>543</v>
      </c>
      <c r="B381" s="1">
        <v>45770</v>
      </c>
      <c r="C381" t="s">
        <v>41</v>
      </c>
      <c r="D381" t="s">
        <v>166</v>
      </c>
      <c r="E381">
        <v>679</v>
      </c>
      <c r="F381" t="s">
        <v>162</v>
      </c>
      <c r="G381" t="s">
        <v>163</v>
      </c>
      <c r="I381" t="s">
        <v>64</v>
      </c>
      <c r="J381" t="s">
        <v>118</v>
      </c>
      <c r="K381" s="1">
        <v>45681</v>
      </c>
    </row>
    <row r="382" spans="1:11" x14ac:dyDescent="0.3">
      <c r="A382" t="s">
        <v>544</v>
      </c>
      <c r="B382" s="1">
        <v>45811</v>
      </c>
      <c r="C382" t="s">
        <v>35</v>
      </c>
      <c r="D382" t="s">
        <v>166</v>
      </c>
      <c r="E382">
        <v>570</v>
      </c>
      <c r="F382" t="s">
        <v>162</v>
      </c>
      <c r="G382" t="s">
        <v>163</v>
      </c>
      <c r="I382" t="s">
        <v>84</v>
      </c>
      <c r="J382" t="s">
        <v>139</v>
      </c>
      <c r="K382" s="1">
        <v>45838</v>
      </c>
    </row>
    <row r="383" spans="1:11" x14ac:dyDescent="0.3">
      <c r="A383" t="s">
        <v>545</v>
      </c>
      <c r="B383" s="1">
        <v>45805</v>
      </c>
      <c r="C383" t="s">
        <v>27</v>
      </c>
      <c r="D383" t="s">
        <v>161</v>
      </c>
      <c r="E383">
        <v>308</v>
      </c>
      <c r="F383" t="s">
        <v>162</v>
      </c>
      <c r="G383" t="s">
        <v>163</v>
      </c>
      <c r="I383" t="s">
        <v>110</v>
      </c>
      <c r="J383" t="s">
        <v>124</v>
      </c>
      <c r="K383" s="1">
        <v>45706</v>
      </c>
    </row>
    <row r="384" spans="1:11" x14ac:dyDescent="0.3">
      <c r="A384" t="s">
        <v>546</v>
      </c>
      <c r="B384" s="1">
        <v>45666</v>
      </c>
      <c r="C384" t="s">
        <v>29</v>
      </c>
      <c r="D384" t="s">
        <v>161</v>
      </c>
      <c r="E384">
        <v>473</v>
      </c>
      <c r="F384" t="s">
        <v>162</v>
      </c>
      <c r="G384" t="s">
        <v>163</v>
      </c>
      <c r="I384" t="s">
        <v>108</v>
      </c>
      <c r="J384" t="s">
        <v>118</v>
      </c>
      <c r="K384" s="1">
        <v>45735</v>
      </c>
    </row>
    <row r="385" spans="1:11" x14ac:dyDescent="0.3">
      <c r="A385" t="s">
        <v>547</v>
      </c>
      <c r="B385" s="1">
        <v>45743</v>
      </c>
      <c r="C385" t="s">
        <v>41</v>
      </c>
      <c r="D385" t="s">
        <v>166</v>
      </c>
      <c r="E385">
        <v>337</v>
      </c>
      <c r="F385" t="s">
        <v>162</v>
      </c>
      <c r="G385" t="s">
        <v>163</v>
      </c>
      <c r="I385" t="s">
        <v>98</v>
      </c>
      <c r="J385" t="s">
        <v>115</v>
      </c>
      <c r="K385" s="1">
        <v>45741</v>
      </c>
    </row>
    <row r="386" spans="1:11" x14ac:dyDescent="0.3">
      <c r="A386" t="s">
        <v>548</v>
      </c>
      <c r="B386" s="1">
        <v>45771</v>
      </c>
      <c r="C386" t="s">
        <v>35</v>
      </c>
      <c r="D386" t="s">
        <v>166</v>
      </c>
      <c r="E386">
        <v>372</v>
      </c>
      <c r="F386" t="s">
        <v>162</v>
      </c>
      <c r="G386" t="s">
        <v>163</v>
      </c>
      <c r="I386" t="s">
        <v>78</v>
      </c>
      <c r="J386" t="s">
        <v>142</v>
      </c>
      <c r="K386" s="1">
        <v>45693</v>
      </c>
    </row>
    <row r="387" spans="1:11" x14ac:dyDescent="0.3">
      <c r="A387" t="s">
        <v>549</v>
      </c>
      <c r="B387" s="1">
        <v>45779</v>
      </c>
      <c r="C387" t="s">
        <v>43</v>
      </c>
      <c r="D387" t="s">
        <v>161</v>
      </c>
      <c r="E387">
        <v>715</v>
      </c>
      <c r="F387" t="s">
        <v>162</v>
      </c>
      <c r="G387" t="s">
        <v>163</v>
      </c>
      <c r="I387" t="s">
        <v>88</v>
      </c>
      <c r="J387" t="s">
        <v>142</v>
      </c>
      <c r="K387" s="1">
        <v>45694</v>
      </c>
    </row>
    <row r="388" spans="1:11" x14ac:dyDescent="0.3">
      <c r="A388" t="s">
        <v>550</v>
      </c>
      <c r="B388" s="1">
        <v>45832</v>
      </c>
      <c r="C388" t="s">
        <v>29</v>
      </c>
      <c r="D388" t="s">
        <v>166</v>
      </c>
      <c r="E388">
        <v>403</v>
      </c>
      <c r="F388" t="s">
        <v>162</v>
      </c>
      <c r="G388" t="s">
        <v>163</v>
      </c>
      <c r="I388" t="s">
        <v>86</v>
      </c>
      <c r="J388" t="s">
        <v>115</v>
      </c>
      <c r="K388" s="1">
        <v>45835</v>
      </c>
    </row>
    <row r="389" spans="1:11" x14ac:dyDescent="0.3">
      <c r="A389" t="s">
        <v>551</v>
      </c>
      <c r="B389" s="1">
        <v>45824</v>
      </c>
      <c r="C389" t="s">
        <v>37</v>
      </c>
      <c r="D389" t="s">
        <v>166</v>
      </c>
      <c r="E389">
        <v>171</v>
      </c>
      <c r="F389" t="s">
        <v>162</v>
      </c>
      <c r="G389" t="s">
        <v>163</v>
      </c>
      <c r="I389" t="s">
        <v>72</v>
      </c>
      <c r="J389" t="s">
        <v>139</v>
      </c>
      <c r="K389" s="1">
        <v>45765</v>
      </c>
    </row>
    <row r="390" spans="1:11" x14ac:dyDescent="0.3">
      <c r="A390" t="s">
        <v>552</v>
      </c>
      <c r="B390" s="1">
        <v>45755</v>
      </c>
      <c r="C390" t="s">
        <v>41</v>
      </c>
      <c r="D390" t="s">
        <v>161</v>
      </c>
      <c r="E390">
        <v>814</v>
      </c>
      <c r="F390" t="s">
        <v>162</v>
      </c>
      <c r="G390" t="s">
        <v>163</v>
      </c>
      <c r="I390" t="s">
        <v>102</v>
      </c>
      <c r="J390" t="s">
        <v>133</v>
      </c>
      <c r="K390" s="1">
        <v>45684</v>
      </c>
    </row>
    <row r="391" spans="1:11" x14ac:dyDescent="0.3">
      <c r="A391" t="s">
        <v>553</v>
      </c>
      <c r="B391" s="1">
        <v>45667</v>
      </c>
      <c r="C391" t="s">
        <v>43</v>
      </c>
      <c r="D391" t="s">
        <v>166</v>
      </c>
      <c r="E391">
        <v>675</v>
      </c>
      <c r="F391" t="s">
        <v>162</v>
      </c>
      <c r="G391" t="s">
        <v>163</v>
      </c>
      <c r="I391" t="s">
        <v>78</v>
      </c>
      <c r="J391" t="s">
        <v>142</v>
      </c>
      <c r="K391" s="1">
        <v>45764</v>
      </c>
    </row>
    <row r="392" spans="1:11" x14ac:dyDescent="0.3">
      <c r="A392" t="s">
        <v>554</v>
      </c>
      <c r="B392" s="1">
        <v>45728</v>
      </c>
      <c r="C392" t="s">
        <v>41</v>
      </c>
      <c r="D392" t="s">
        <v>166</v>
      </c>
      <c r="E392">
        <v>113</v>
      </c>
      <c r="F392" t="s">
        <v>162</v>
      </c>
      <c r="G392" t="s">
        <v>163</v>
      </c>
      <c r="I392" t="s">
        <v>64</v>
      </c>
      <c r="J392" t="s">
        <v>124</v>
      </c>
      <c r="K392" s="1">
        <v>45789</v>
      </c>
    </row>
    <row r="393" spans="1:11" x14ac:dyDescent="0.3">
      <c r="A393" t="s">
        <v>555</v>
      </c>
      <c r="B393" s="1">
        <v>45742</v>
      </c>
      <c r="C393" t="s">
        <v>43</v>
      </c>
      <c r="D393" t="s">
        <v>161</v>
      </c>
      <c r="E393">
        <v>925</v>
      </c>
      <c r="F393" t="s">
        <v>162</v>
      </c>
      <c r="G393" t="s">
        <v>163</v>
      </c>
      <c r="I393" t="s">
        <v>72</v>
      </c>
      <c r="J393" t="s">
        <v>136</v>
      </c>
      <c r="K393" s="1">
        <v>45733</v>
      </c>
    </row>
    <row r="394" spans="1:11" x14ac:dyDescent="0.3">
      <c r="A394" t="s">
        <v>556</v>
      </c>
      <c r="B394" s="1">
        <v>45702</v>
      </c>
      <c r="C394" t="s">
        <v>35</v>
      </c>
      <c r="D394" t="s">
        <v>166</v>
      </c>
      <c r="E394">
        <v>363</v>
      </c>
      <c r="F394" t="s">
        <v>162</v>
      </c>
      <c r="G394" t="s">
        <v>163</v>
      </c>
      <c r="I394" t="s">
        <v>51</v>
      </c>
      <c r="J394" t="s">
        <v>118</v>
      </c>
      <c r="K394" s="1">
        <v>45726</v>
      </c>
    </row>
    <row r="395" spans="1:11" x14ac:dyDescent="0.3">
      <c r="A395" t="s">
        <v>557</v>
      </c>
      <c r="B395" s="1">
        <v>45695</v>
      </c>
      <c r="C395" t="s">
        <v>41</v>
      </c>
      <c r="D395" t="s">
        <v>166</v>
      </c>
      <c r="E395">
        <v>744</v>
      </c>
      <c r="F395" t="s">
        <v>162</v>
      </c>
      <c r="G395" t="s">
        <v>163</v>
      </c>
      <c r="I395" t="s">
        <v>94</v>
      </c>
      <c r="J395" t="s">
        <v>118</v>
      </c>
      <c r="K395" s="1">
        <v>45835</v>
      </c>
    </row>
    <row r="396" spans="1:11" x14ac:dyDescent="0.3">
      <c r="A396" t="s">
        <v>558</v>
      </c>
      <c r="B396" s="1">
        <v>45695</v>
      </c>
      <c r="C396" t="s">
        <v>37</v>
      </c>
      <c r="D396" t="s">
        <v>166</v>
      </c>
      <c r="E396">
        <v>819</v>
      </c>
      <c r="F396" t="s">
        <v>162</v>
      </c>
      <c r="G396" t="s">
        <v>163</v>
      </c>
      <c r="I396" t="s">
        <v>82</v>
      </c>
      <c r="J396" t="s">
        <v>130</v>
      </c>
      <c r="K396" s="1">
        <v>45824</v>
      </c>
    </row>
    <row r="397" spans="1:11" x14ac:dyDescent="0.3">
      <c r="A397" t="s">
        <v>559</v>
      </c>
      <c r="B397" s="1">
        <v>45740</v>
      </c>
      <c r="C397" t="s">
        <v>29</v>
      </c>
      <c r="D397" t="s">
        <v>166</v>
      </c>
      <c r="E397">
        <v>955</v>
      </c>
      <c r="F397" t="s">
        <v>162</v>
      </c>
      <c r="G397" t="s">
        <v>163</v>
      </c>
      <c r="I397" t="s">
        <v>98</v>
      </c>
      <c r="J397" t="s">
        <v>118</v>
      </c>
      <c r="K397" s="1">
        <v>45793</v>
      </c>
    </row>
    <row r="398" spans="1:11" x14ac:dyDescent="0.3">
      <c r="A398" t="s">
        <v>560</v>
      </c>
      <c r="B398" s="1">
        <v>45708</v>
      </c>
      <c r="C398" t="s">
        <v>35</v>
      </c>
      <c r="D398" t="s">
        <v>166</v>
      </c>
      <c r="E398">
        <v>906</v>
      </c>
      <c r="F398" t="s">
        <v>162</v>
      </c>
      <c r="G398" t="s">
        <v>163</v>
      </c>
      <c r="I398" t="s">
        <v>48</v>
      </c>
      <c r="J398" t="s">
        <v>115</v>
      </c>
      <c r="K398" s="1">
        <v>45786</v>
      </c>
    </row>
    <row r="399" spans="1:11" x14ac:dyDescent="0.3">
      <c r="A399" t="s">
        <v>561</v>
      </c>
      <c r="B399" s="1">
        <v>45687</v>
      </c>
      <c r="C399" t="s">
        <v>29</v>
      </c>
      <c r="D399" t="s">
        <v>161</v>
      </c>
      <c r="E399">
        <v>847</v>
      </c>
      <c r="F399" t="s">
        <v>162</v>
      </c>
      <c r="G399" t="s">
        <v>163</v>
      </c>
      <c r="I399" t="s">
        <v>106</v>
      </c>
      <c r="J399" t="s">
        <v>136</v>
      </c>
      <c r="K399" s="1">
        <v>45762</v>
      </c>
    </row>
    <row r="400" spans="1:11" x14ac:dyDescent="0.3">
      <c r="A400" t="s">
        <v>562</v>
      </c>
      <c r="B400" s="1">
        <v>45658</v>
      </c>
      <c r="C400" t="s">
        <v>27</v>
      </c>
      <c r="D400" t="s">
        <v>166</v>
      </c>
      <c r="E400">
        <v>766</v>
      </c>
      <c r="F400" t="s">
        <v>162</v>
      </c>
      <c r="G400" t="s">
        <v>163</v>
      </c>
      <c r="I400" t="s">
        <v>110</v>
      </c>
      <c r="J400" t="s">
        <v>130</v>
      </c>
      <c r="K400" s="1">
        <v>45663</v>
      </c>
    </row>
    <row r="401" spans="1:11" x14ac:dyDescent="0.3">
      <c r="A401" t="s">
        <v>563</v>
      </c>
      <c r="B401" s="1">
        <v>45828</v>
      </c>
      <c r="C401" t="s">
        <v>27</v>
      </c>
      <c r="D401" t="s">
        <v>161</v>
      </c>
      <c r="E401">
        <v>148</v>
      </c>
      <c r="F401" t="s">
        <v>162</v>
      </c>
      <c r="G401" t="s">
        <v>163</v>
      </c>
      <c r="I401" t="s">
        <v>62</v>
      </c>
      <c r="J401" t="s">
        <v>127</v>
      </c>
      <c r="K401" s="1">
        <v>45786</v>
      </c>
    </row>
    <row r="402" spans="1:11" x14ac:dyDescent="0.3">
      <c r="A402" t="s">
        <v>564</v>
      </c>
      <c r="B402" s="1">
        <v>45761</v>
      </c>
      <c r="C402" t="s">
        <v>29</v>
      </c>
      <c r="D402" t="s">
        <v>161</v>
      </c>
      <c r="E402">
        <v>363</v>
      </c>
      <c r="F402" t="s">
        <v>162</v>
      </c>
      <c r="G402" t="s">
        <v>163</v>
      </c>
      <c r="I402" t="s">
        <v>84</v>
      </c>
      <c r="J402" t="s">
        <v>115</v>
      </c>
      <c r="K402" s="1">
        <v>45748</v>
      </c>
    </row>
    <row r="403" spans="1:11" x14ac:dyDescent="0.3">
      <c r="A403" t="s">
        <v>565</v>
      </c>
      <c r="B403" s="1">
        <v>45800</v>
      </c>
      <c r="C403" t="s">
        <v>32</v>
      </c>
      <c r="D403" t="s">
        <v>166</v>
      </c>
      <c r="E403">
        <v>154</v>
      </c>
      <c r="F403" t="s">
        <v>162</v>
      </c>
      <c r="G403" t="s">
        <v>163</v>
      </c>
      <c r="I403" t="s">
        <v>108</v>
      </c>
      <c r="J403" t="s">
        <v>133</v>
      </c>
      <c r="K403" s="1">
        <v>45681</v>
      </c>
    </row>
    <row r="404" spans="1:11" x14ac:dyDescent="0.3">
      <c r="A404" t="s">
        <v>566</v>
      </c>
      <c r="B404" s="1">
        <v>45762</v>
      </c>
      <c r="C404" t="s">
        <v>43</v>
      </c>
      <c r="D404" t="s">
        <v>166</v>
      </c>
      <c r="E404">
        <v>985</v>
      </c>
      <c r="F404" t="s">
        <v>162</v>
      </c>
      <c r="G404" t="s">
        <v>163</v>
      </c>
      <c r="I404" t="s">
        <v>92</v>
      </c>
      <c r="J404" t="s">
        <v>118</v>
      </c>
      <c r="K404" s="1">
        <v>45821</v>
      </c>
    </row>
    <row r="405" spans="1:11" x14ac:dyDescent="0.3">
      <c r="A405" t="s">
        <v>567</v>
      </c>
      <c r="B405" s="1">
        <v>45688</v>
      </c>
      <c r="C405" t="s">
        <v>41</v>
      </c>
      <c r="D405" t="s">
        <v>161</v>
      </c>
      <c r="E405">
        <v>56</v>
      </c>
      <c r="F405" t="s">
        <v>162</v>
      </c>
      <c r="G405" t="s">
        <v>163</v>
      </c>
      <c r="I405" t="s">
        <v>90</v>
      </c>
      <c r="J405" t="s">
        <v>142</v>
      </c>
      <c r="K405" s="1">
        <v>45674</v>
      </c>
    </row>
    <row r="406" spans="1:11" x14ac:dyDescent="0.3">
      <c r="A406" t="s">
        <v>568</v>
      </c>
      <c r="B406" s="1">
        <v>45764</v>
      </c>
      <c r="C406" t="s">
        <v>39</v>
      </c>
      <c r="D406" t="s">
        <v>161</v>
      </c>
      <c r="E406">
        <v>428</v>
      </c>
      <c r="F406" t="s">
        <v>162</v>
      </c>
      <c r="G406" t="s">
        <v>163</v>
      </c>
      <c r="I406" t="s">
        <v>100</v>
      </c>
      <c r="J406" t="s">
        <v>115</v>
      </c>
      <c r="K406" s="1">
        <v>45834</v>
      </c>
    </row>
    <row r="407" spans="1:11" x14ac:dyDescent="0.3">
      <c r="A407" t="s">
        <v>569</v>
      </c>
      <c r="B407" s="1">
        <v>45791</v>
      </c>
      <c r="C407" t="s">
        <v>37</v>
      </c>
      <c r="D407" t="s">
        <v>166</v>
      </c>
      <c r="E407">
        <v>959</v>
      </c>
      <c r="F407" t="s">
        <v>162</v>
      </c>
      <c r="G407" t="s">
        <v>163</v>
      </c>
      <c r="I407" t="s">
        <v>72</v>
      </c>
      <c r="J407" t="s">
        <v>127</v>
      </c>
      <c r="K407" s="1">
        <v>45825</v>
      </c>
    </row>
    <row r="408" spans="1:11" x14ac:dyDescent="0.3">
      <c r="A408" t="s">
        <v>570</v>
      </c>
      <c r="B408" s="1">
        <v>45761</v>
      </c>
      <c r="C408" t="s">
        <v>41</v>
      </c>
      <c r="D408" t="s">
        <v>161</v>
      </c>
      <c r="E408">
        <v>448</v>
      </c>
      <c r="F408" t="s">
        <v>162</v>
      </c>
      <c r="G408" t="s">
        <v>163</v>
      </c>
      <c r="I408" t="s">
        <v>82</v>
      </c>
      <c r="J408" t="s">
        <v>130</v>
      </c>
      <c r="K408" s="1">
        <v>45735</v>
      </c>
    </row>
    <row r="409" spans="1:11" x14ac:dyDescent="0.3">
      <c r="A409" t="s">
        <v>571</v>
      </c>
      <c r="B409" s="1">
        <v>45762</v>
      </c>
      <c r="C409" t="s">
        <v>39</v>
      </c>
      <c r="D409" t="s">
        <v>161</v>
      </c>
      <c r="E409">
        <v>262</v>
      </c>
      <c r="F409" t="s">
        <v>162</v>
      </c>
      <c r="G409" t="s">
        <v>163</v>
      </c>
      <c r="I409" t="s">
        <v>102</v>
      </c>
      <c r="J409" t="s">
        <v>139</v>
      </c>
      <c r="K409" s="1">
        <v>45742</v>
      </c>
    </row>
    <row r="410" spans="1:11" x14ac:dyDescent="0.3">
      <c r="A410" t="s">
        <v>572</v>
      </c>
      <c r="B410" s="1">
        <v>45733</v>
      </c>
      <c r="C410" t="s">
        <v>29</v>
      </c>
      <c r="D410" t="s">
        <v>161</v>
      </c>
      <c r="E410">
        <v>40</v>
      </c>
      <c r="F410" t="s">
        <v>162</v>
      </c>
      <c r="G410" t="s">
        <v>163</v>
      </c>
      <c r="I410" t="s">
        <v>70</v>
      </c>
      <c r="J410" t="s">
        <v>118</v>
      </c>
      <c r="K410" s="1">
        <v>45754</v>
      </c>
    </row>
    <row r="411" spans="1:11" x14ac:dyDescent="0.3">
      <c r="A411" t="s">
        <v>573</v>
      </c>
      <c r="B411" s="1">
        <v>45777</v>
      </c>
      <c r="C411" t="s">
        <v>29</v>
      </c>
      <c r="D411" t="s">
        <v>161</v>
      </c>
      <c r="E411">
        <v>474</v>
      </c>
      <c r="F411" t="s">
        <v>162</v>
      </c>
      <c r="G411" t="s">
        <v>163</v>
      </c>
      <c r="I411" t="s">
        <v>54</v>
      </c>
      <c r="J411" t="s">
        <v>142</v>
      </c>
      <c r="K411" s="1">
        <v>45728</v>
      </c>
    </row>
    <row r="412" spans="1:11" x14ac:dyDescent="0.3">
      <c r="A412" t="s">
        <v>574</v>
      </c>
      <c r="B412" s="1">
        <v>45685</v>
      </c>
      <c r="C412" t="s">
        <v>27</v>
      </c>
      <c r="D412" t="s">
        <v>161</v>
      </c>
      <c r="E412">
        <v>300</v>
      </c>
      <c r="F412" t="s">
        <v>162</v>
      </c>
      <c r="G412" t="s">
        <v>163</v>
      </c>
      <c r="I412" t="s">
        <v>68</v>
      </c>
      <c r="J412" t="s">
        <v>127</v>
      </c>
      <c r="K412" s="1">
        <v>45798</v>
      </c>
    </row>
    <row r="413" spans="1:11" x14ac:dyDescent="0.3">
      <c r="A413" t="s">
        <v>575</v>
      </c>
      <c r="B413" s="1">
        <v>45789</v>
      </c>
      <c r="C413" t="s">
        <v>32</v>
      </c>
      <c r="D413" t="s">
        <v>161</v>
      </c>
      <c r="E413">
        <v>949</v>
      </c>
      <c r="F413" t="s">
        <v>162</v>
      </c>
      <c r="G413" t="s">
        <v>163</v>
      </c>
      <c r="I413" t="s">
        <v>108</v>
      </c>
      <c r="J413" t="s">
        <v>136</v>
      </c>
      <c r="K413" s="1">
        <v>45695</v>
      </c>
    </row>
    <row r="414" spans="1:11" x14ac:dyDescent="0.3">
      <c r="A414" t="s">
        <v>576</v>
      </c>
      <c r="B414" s="1">
        <v>45832</v>
      </c>
      <c r="C414" t="s">
        <v>29</v>
      </c>
      <c r="D414" t="s">
        <v>166</v>
      </c>
      <c r="E414">
        <v>82</v>
      </c>
      <c r="F414" t="s">
        <v>162</v>
      </c>
      <c r="G414" t="s">
        <v>163</v>
      </c>
      <c r="I414" t="s">
        <v>82</v>
      </c>
      <c r="J414" t="s">
        <v>139</v>
      </c>
      <c r="K414" s="1">
        <v>45792</v>
      </c>
    </row>
    <row r="415" spans="1:11" x14ac:dyDescent="0.3">
      <c r="A415" t="s">
        <v>577</v>
      </c>
      <c r="B415" s="1">
        <v>45737</v>
      </c>
      <c r="C415" t="s">
        <v>29</v>
      </c>
      <c r="D415" t="s">
        <v>161</v>
      </c>
      <c r="E415">
        <v>284</v>
      </c>
      <c r="F415" t="s">
        <v>162</v>
      </c>
      <c r="G415" t="s">
        <v>163</v>
      </c>
      <c r="I415" t="s">
        <v>96</v>
      </c>
      <c r="J415" t="s">
        <v>115</v>
      </c>
      <c r="K415" s="1">
        <v>45828</v>
      </c>
    </row>
    <row r="416" spans="1:11" x14ac:dyDescent="0.3">
      <c r="A416" t="s">
        <v>578</v>
      </c>
      <c r="B416" s="1">
        <v>45749</v>
      </c>
      <c r="C416" t="s">
        <v>29</v>
      </c>
      <c r="D416" t="s">
        <v>166</v>
      </c>
      <c r="E416">
        <v>787</v>
      </c>
      <c r="F416" t="s">
        <v>162</v>
      </c>
      <c r="G416" t="s">
        <v>163</v>
      </c>
      <c r="I416" t="s">
        <v>62</v>
      </c>
      <c r="J416" t="s">
        <v>136</v>
      </c>
      <c r="K416" s="1">
        <v>45714</v>
      </c>
    </row>
    <row r="417" spans="1:11" x14ac:dyDescent="0.3">
      <c r="A417" t="s">
        <v>579</v>
      </c>
      <c r="B417" s="1">
        <v>45702</v>
      </c>
      <c r="C417" t="s">
        <v>43</v>
      </c>
      <c r="D417" t="s">
        <v>166</v>
      </c>
      <c r="E417">
        <v>922</v>
      </c>
      <c r="F417" t="s">
        <v>162</v>
      </c>
      <c r="G417" t="s">
        <v>163</v>
      </c>
      <c r="I417" t="s">
        <v>72</v>
      </c>
      <c r="J417" t="s">
        <v>127</v>
      </c>
      <c r="K417" s="1">
        <v>45758</v>
      </c>
    </row>
    <row r="418" spans="1:11" x14ac:dyDescent="0.3">
      <c r="A418" t="s">
        <v>580</v>
      </c>
      <c r="B418" s="1">
        <v>45813</v>
      </c>
      <c r="C418" t="s">
        <v>39</v>
      </c>
      <c r="D418" t="s">
        <v>161</v>
      </c>
      <c r="E418">
        <v>665</v>
      </c>
      <c r="F418" t="s">
        <v>162</v>
      </c>
      <c r="G418" t="s">
        <v>163</v>
      </c>
      <c r="I418" t="s">
        <v>78</v>
      </c>
      <c r="J418" t="s">
        <v>118</v>
      </c>
      <c r="K418" s="1">
        <v>45699</v>
      </c>
    </row>
    <row r="419" spans="1:11" x14ac:dyDescent="0.3">
      <c r="A419" t="s">
        <v>581</v>
      </c>
      <c r="B419" s="1">
        <v>45740</v>
      </c>
      <c r="C419" t="s">
        <v>37</v>
      </c>
      <c r="D419" t="s">
        <v>166</v>
      </c>
      <c r="E419">
        <v>186</v>
      </c>
      <c r="F419" t="s">
        <v>162</v>
      </c>
      <c r="G419" t="s">
        <v>163</v>
      </c>
      <c r="I419" t="s">
        <v>96</v>
      </c>
      <c r="J419" t="s">
        <v>124</v>
      </c>
      <c r="K419" s="1">
        <v>45686</v>
      </c>
    </row>
    <row r="420" spans="1:11" x14ac:dyDescent="0.3">
      <c r="A420" t="s">
        <v>582</v>
      </c>
      <c r="B420" s="1">
        <v>45699</v>
      </c>
      <c r="C420" t="s">
        <v>39</v>
      </c>
      <c r="D420" t="s">
        <v>166</v>
      </c>
      <c r="E420">
        <v>964</v>
      </c>
      <c r="F420" t="s">
        <v>162</v>
      </c>
      <c r="G420" t="s">
        <v>163</v>
      </c>
      <c r="I420" t="s">
        <v>48</v>
      </c>
      <c r="J420" t="s">
        <v>124</v>
      </c>
      <c r="K420" s="1">
        <v>45665</v>
      </c>
    </row>
    <row r="421" spans="1:11" x14ac:dyDescent="0.3">
      <c r="A421" t="s">
        <v>583</v>
      </c>
      <c r="B421" s="1">
        <v>45762</v>
      </c>
      <c r="C421" t="s">
        <v>41</v>
      </c>
      <c r="D421" t="s">
        <v>166</v>
      </c>
      <c r="E421">
        <v>166</v>
      </c>
      <c r="F421" t="s">
        <v>162</v>
      </c>
      <c r="G421" t="s">
        <v>163</v>
      </c>
      <c r="I421" t="s">
        <v>80</v>
      </c>
      <c r="J421" t="s">
        <v>133</v>
      </c>
      <c r="K421" s="1">
        <v>45747</v>
      </c>
    </row>
    <row r="422" spans="1:11" x14ac:dyDescent="0.3">
      <c r="A422" t="s">
        <v>584</v>
      </c>
      <c r="B422" s="1">
        <v>45749</v>
      </c>
      <c r="C422" t="s">
        <v>39</v>
      </c>
      <c r="D422" t="s">
        <v>161</v>
      </c>
      <c r="E422">
        <v>671</v>
      </c>
      <c r="F422" t="s">
        <v>162</v>
      </c>
      <c r="G422" t="s">
        <v>163</v>
      </c>
      <c r="I422" t="s">
        <v>98</v>
      </c>
      <c r="J422" t="s">
        <v>118</v>
      </c>
      <c r="K422" s="1">
        <v>45707</v>
      </c>
    </row>
    <row r="423" spans="1:11" x14ac:dyDescent="0.3">
      <c r="A423" t="s">
        <v>585</v>
      </c>
      <c r="B423" s="1">
        <v>45742</v>
      </c>
      <c r="C423" t="s">
        <v>35</v>
      </c>
      <c r="D423" t="s">
        <v>161</v>
      </c>
      <c r="E423">
        <v>866</v>
      </c>
      <c r="F423" t="s">
        <v>162</v>
      </c>
      <c r="G423" t="s">
        <v>163</v>
      </c>
      <c r="I423" t="s">
        <v>78</v>
      </c>
      <c r="J423" t="s">
        <v>127</v>
      </c>
      <c r="K423" s="1">
        <v>45763</v>
      </c>
    </row>
    <row r="424" spans="1:11" x14ac:dyDescent="0.3">
      <c r="A424" t="s">
        <v>586</v>
      </c>
      <c r="B424" s="1">
        <v>45799</v>
      </c>
      <c r="C424" t="s">
        <v>41</v>
      </c>
      <c r="D424" t="s">
        <v>161</v>
      </c>
      <c r="E424">
        <v>319</v>
      </c>
      <c r="F424" t="s">
        <v>162</v>
      </c>
      <c r="G424" t="s">
        <v>163</v>
      </c>
      <c r="I424" t="s">
        <v>70</v>
      </c>
      <c r="J424" t="s">
        <v>115</v>
      </c>
      <c r="K424" s="1">
        <v>45670</v>
      </c>
    </row>
    <row r="425" spans="1:11" x14ac:dyDescent="0.3">
      <c r="A425" t="s">
        <v>587</v>
      </c>
      <c r="B425" s="1">
        <v>45748</v>
      </c>
      <c r="C425" t="s">
        <v>32</v>
      </c>
      <c r="D425" t="s">
        <v>161</v>
      </c>
      <c r="E425">
        <v>740</v>
      </c>
      <c r="F425" t="s">
        <v>162</v>
      </c>
      <c r="G425" t="s">
        <v>163</v>
      </c>
      <c r="I425" t="s">
        <v>86</v>
      </c>
      <c r="J425" t="s">
        <v>139</v>
      </c>
      <c r="K425" s="1">
        <v>45771</v>
      </c>
    </row>
    <row r="426" spans="1:11" x14ac:dyDescent="0.3">
      <c r="A426" t="s">
        <v>588</v>
      </c>
      <c r="B426" s="1">
        <v>45736</v>
      </c>
      <c r="C426" t="s">
        <v>39</v>
      </c>
      <c r="D426" t="s">
        <v>166</v>
      </c>
      <c r="E426">
        <v>385</v>
      </c>
      <c r="F426" t="s">
        <v>162</v>
      </c>
      <c r="G426" t="s">
        <v>163</v>
      </c>
      <c r="I426" t="s">
        <v>96</v>
      </c>
      <c r="J426" t="s">
        <v>118</v>
      </c>
      <c r="K426" s="1">
        <v>45737</v>
      </c>
    </row>
    <row r="427" spans="1:11" x14ac:dyDescent="0.3">
      <c r="A427" t="s">
        <v>589</v>
      </c>
      <c r="B427" s="1">
        <v>45827</v>
      </c>
      <c r="C427" t="s">
        <v>39</v>
      </c>
      <c r="D427" t="s">
        <v>161</v>
      </c>
      <c r="E427">
        <v>50</v>
      </c>
      <c r="F427" t="s">
        <v>162</v>
      </c>
      <c r="G427" t="s">
        <v>163</v>
      </c>
      <c r="I427" t="s">
        <v>57</v>
      </c>
      <c r="J427" t="s">
        <v>127</v>
      </c>
      <c r="K427" s="1">
        <v>45681</v>
      </c>
    </row>
    <row r="428" spans="1:11" x14ac:dyDescent="0.3">
      <c r="A428" t="s">
        <v>590</v>
      </c>
      <c r="B428" s="1">
        <v>45728</v>
      </c>
      <c r="C428" t="s">
        <v>32</v>
      </c>
      <c r="D428" t="s">
        <v>161</v>
      </c>
      <c r="E428">
        <v>841</v>
      </c>
      <c r="F428" t="s">
        <v>162</v>
      </c>
      <c r="G428" t="s">
        <v>163</v>
      </c>
      <c r="I428" t="s">
        <v>90</v>
      </c>
      <c r="J428" t="s">
        <v>136</v>
      </c>
      <c r="K428" s="1">
        <v>45700</v>
      </c>
    </row>
    <row r="429" spans="1:11" x14ac:dyDescent="0.3">
      <c r="A429" t="s">
        <v>591</v>
      </c>
      <c r="B429" s="1">
        <v>45719</v>
      </c>
      <c r="C429" t="s">
        <v>29</v>
      </c>
      <c r="D429" t="s">
        <v>166</v>
      </c>
      <c r="E429">
        <v>631</v>
      </c>
      <c r="F429" t="s">
        <v>162</v>
      </c>
      <c r="G429" t="s">
        <v>163</v>
      </c>
      <c r="I429" t="s">
        <v>60</v>
      </c>
      <c r="J429" t="s">
        <v>139</v>
      </c>
      <c r="K429" s="1">
        <v>45728</v>
      </c>
    </row>
    <row r="430" spans="1:11" x14ac:dyDescent="0.3">
      <c r="A430" t="s">
        <v>592</v>
      </c>
      <c r="B430" s="1">
        <v>45797</v>
      </c>
      <c r="C430" t="s">
        <v>27</v>
      </c>
      <c r="D430" t="s">
        <v>161</v>
      </c>
      <c r="E430">
        <v>157</v>
      </c>
      <c r="F430" t="s">
        <v>162</v>
      </c>
      <c r="G430" t="s">
        <v>163</v>
      </c>
      <c r="I430" t="s">
        <v>84</v>
      </c>
      <c r="J430" t="s">
        <v>136</v>
      </c>
      <c r="K430" s="1">
        <v>45748</v>
      </c>
    </row>
    <row r="431" spans="1:11" x14ac:dyDescent="0.3">
      <c r="A431" t="s">
        <v>593</v>
      </c>
      <c r="B431" s="1">
        <v>45775</v>
      </c>
      <c r="C431" t="s">
        <v>41</v>
      </c>
      <c r="D431" t="s">
        <v>161</v>
      </c>
      <c r="E431">
        <v>546</v>
      </c>
      <c r="F431" t="s">
        <v>162</v>
      </c>
      <c r="G431" t="s">
        <v>163</v>
      </c>
      <c r="I431" t="s">
        <v>54</v>
      </c>
      <c r="J431" t="s">
        <v>127</v>
      </c>
      <c r="K431" s="1">
        <v>45716</v>
      </c>
    </row>
    <row r="432" spans="1:11" x14ac:dyDescent="0.3">
      <c r="A432" t="s">
        <v>594</v>
      </c>
      <c r="B432" s="1">
        <v>45727</v>
      </c>
      <c r="C432" t="s">
        <v>41</v>
      </c>
      <c r="D432" t="s">
        <v>161</v>
      </c>
      <c r="E432">
        <v>711</v>
      </c>
      <c r="F432" t="s">
        <v>162</v>
      </c>
      <c r="G432" t="s">
        <v>163</v>
      </c>
      <c r="I432" t="s">
        <v>57</v>
      </c>
      <c r="J432" t="s">
        <v>115</v>
      </c>
      <c r="K432" s="1">
        <v>45824</v>
      </c>
    </row>
    <row r="433" spans="1:11" x14ac:dyDescent="0.3">
      <c r="A433" t="s">
        <v>595</v>
      </c>
      <c r="B433" s="1">
        <v>45757</v>
      </c>
      <c r="C433" t="s">
        <v>43</v>
      </c>
      <c r="D433" t="s">
        <v>166</v>
      </c>
      <c r="E433">
        <v>846</v>
      </c>
      <c r="F433" t="s">
        <v>162</v>
      </c>
      <c r="G433" t="s">
        <v>163</v>
      </c>
      <c r="I433" t="s">
        <v>92</v>
      </c>
      <c r="J433" t="s">
        <v>139</v>
      </c>
      <c r="K433" s="1">
        <v>45793</v>
      </c>
    </row>
    <row r="434" spans="1:11" x14ac:dyDescent="0.3">
      <c r="A434" t="s">
        <v>596</v>
      </c>
      <c r="B434" s="1">
        <v>45789</v>
      </c>
      <c r="C434" t="s">
        <v>27</v>
      </c>
      <c r="D434" t="s">
        <v>161</v>
      </c>
      <c r="E434">
        <v>443</v>
      </c>
      <c r="F434" t="s">
        <v>162</v>
      </c>
      <c r="G434" t="s">
        <v>163</v>
      </c>
      <c r="I434" t="s">
        <v>102</v>
      </c>
      <c r="J434" t="s">
        <v>124</v>
      </c>
      <c r="K434" s="1">
        <v>45749</v>
      </c>
    </row>
    <row r="435" spans="1:11" x14ac:dyDescent="0.3">
      <c r="A435" t="s">
        <v>597</v>
      </c>
      <c r="B435" s="1">
        <v>45677</v>
      </c>
      <c r="C435" t="s">
        <v>35</v>
      </c>
      <c r="D435" t="s">
        <v>166</v>
      </c>
      <c r="E435">
        <v>230</v>
      </c>
      <c r="F435" t="s">
        <v>162</v>
      </c>
      <c r="G435" t="s">
        <v>163</v>
      </c>
      <c r="I435" t="s">
        <v>70</v>
      </c>
      <c r="J435" t="s">
        <v>136</v>
      </c>
      <c r="K435" s="1">
        <v>45786</v>
      </c>
    </row>
    <row r="436" spans="1:11" x14ac:dyDescent="0.3">
      <c r="A436" t="s">
        <v>598</v>
      </c>
      <c r="B436" s="1">
        <v>45796</v>
      </c>
      <c r="C436" t="s">
        <v>27</v>
      </c>
      <c r="D436" t="s">
        <v>166</v>
      </c>
      <c r="E436">
        <v>736</v>
      </c>
      <c r="F436" t="s">
        <v>162</v>
      </c>
      <c r="G436" t="s">
        <v>163</v>
      </c>
      <c r="I436" t="s">
        <v>74</v>
      </c>
      <c r="J436" t="s">
        <v>115</v>
      </c>
      <c r="K436" s="1">
        <v>45671</v>
      </c>
    </row>
    <row r="437" spans="1:11" x14ac:dyDescent="0.3">
      <c r="A437" t="s">
        <v>599</v>
      </c>
      <c r="B437" s="1">
        <v>45835</v>
      </c>
      <c r="C437" t="s">
        <v>32</v>
      </c>
      <c r="D437" t="s">
        <v>166</v>
      </c>
      <c r="E437">
        <v>584</v>
      </c>
      <c r="F437" t="s">
        <v>162</v>
      </c>
      <c r="G437" t="s">
        <v>163</v>
      </c>
      <c r="I437" t="s">
        <v>78</v>
      </c>
      <c r="J437" t="s">
        <v>121</v>
      </c>
      <c r="K437" s="1">
        <v>45734</v>
      </c>
    </row>
    <row r="438" spans="1:11" x14ac:dyDescent="0.3">
      <c r="A438" t="s">
        <v>600</v>
      </c>
      <c r="B438" s="1">
        <v>45819</v>
      </c>
      <c r="C438" t="s">
        <v>29</v>
      </c>
      <c r="D438" t="s">
        <v>166</v>
      </c>
      <c r="E438">
        <v>728</v>
      </c>
      <c r="F438" t="s">
        <v>162</v>
      </c>
      <c r="G438" t="s">
        <v>163</v>
      </c>
      <c r="I438" t="s">
        <v>92</v>
      </c>
      <c r="J438" t="s">
        <v>124</v>
      </c>
      <c r="K438" s="1">
        <v>45831</v>
      </c>
    </row>
    <row r="439" spans="1:11" x14ac:dyDescent="0.3">
      <c r="A439" t="s">
        <v>601</v>
      </c>
      <c r="B439" s="1">
        <v>45714</v>
      </c>
      <c r="C439" t="s">
        <v>29</v>
      </c>
      <c r="D439" t="s">
        <v>166</v>
      </c>
      <c r="E439">
        <v>420</v>
      </c>
      <c r="F439" t="s">
        <v>162</v>
      </c>
      <c r="G439" t="s">
        <v>163</v>
      </c>
      <c r="I439" t="s">
        <v>60</v>
      </c>
      <c r="J439" t="s">
        <v>121</v>
      </c>
      <c r="K439" s="1">
        <v>45695</v>
      </c>
    </row>
    <row r="440" spans="1:11" x14ac:dyDescent="0.3">
      <c r="A440" t="s">
        <v>602</v>
      </c>
      <c r="B440" s="1">
        <v>45744</v>
      </c>
      <c r="C440" t="s">
        <v>37</v>
      </c>
      <c r="D440" t="s">
        <v>161</v>
      </c>
      <c r="E440">
        <v>238</v>
      </c>
      <c r="F440" t="s">
        <v>162</v>
      </c>
      <c r="G440" t="s">
        <v>163</v>
      </c>
      <c r="I440" t="s">
        <v>72</v>
      </c>
      <c r="J440" t="s">
        <v>115</v>
      </c>
      <c r="K440" s="1">
        <v>45700</v>
      </c>
    </row>
    <row r="441" spans="1:11" x14ac:dyDescent="0.3">
      <c r="A441" t="s">
        <v>603</v>
      </c>
      <c r="B441" s="1">
        <v>45685</v>
      </c>
      <c r="C441" t="s">
        <v>37</v>
      </c>
      <c r="D441" t="s">
        <v>166</v>
      </c>
      <c r="E441">
        <v>344</v>
      </c>
      <c r="F441" t="s">
        <v>162</v>
      </c>
      <c r="G441" t="s">
        <v>163</v>
      </c>
      <c r="I441" t="s">
        <v>98</v>
      </c>
      <c r="J441" t="s">
        <v>139</v>
      </c>
      <c r="K441" s="1">
        <v>45713</v>
      </c>
    </row>
    <row r="442" spans="1:11" x14ac:dyDescent="0.3">
      <c r="A442" t="s">
        <v>604</v>
      </c>
      <c r="B442" s="1">
        <v>45712</v>
      </c>
      <c r="C442" t="s">
        <v>35</v>
      </c>
      <c r="D442" t="s">
        <v>166</v>
      </c>
      <c r="E442">
        <v>677</v>
      </c>
      <c r="F442" t="s">
        <v>162</v>
      </c>
      <c r="G442" t="s">
        <v>163</v>
      </c>
      <c r="I442" t="s">
        <v>96</v>
      </c>
      <c r="J442" t="s">
        <v>127</v>
      </c>
      <c r="K442" s="1">
        <v>45741</v>
      </c>
    </row>
    <row r="443" spans="1:11" x14ac:dyDescent="0.3">
      <c r="A443" t="s">
        <v>605</v>
      </c>
      <c r="B443" s="1">
        <v>45805</v>
      </c>
      <c r="C443" t="s">
        <v>43</v>
      </c>
      <c r="D443" t="s">
        <v>166</v>
      </c>
      <c r="E443">
        <v>390</v>
      </c>
      <c r="F443" t="s">
        <v>162</v>
      </c>
      <c r="G443" t="s">
        <v>163</v>
      </c>
      <c r="I443" t="s">
        <v>82</v>
      </c>
      <c r="J443" t="s">
        <v>136</v>
      </c>
      <c r="K443" s="1">
        <v>45835</v>
      </c>
    </row>
    <row r="444" spans="1:11" x14ac:dyDescent="0.3">
      <c r="A444" t="s">
        <v>606</v>
      </c>
      <c r="B444" s="1">
        <v>45679</v>
      </c>
      <c r="C444" t="s">
        <v>32</v>
      </c>
      <c r="D444" t="s">
        <v>161</v>
      </c>
      <c r="E444">
        <v>287</v>
      </c>
      <c r="F444" t="s">
        <v>162</v>
      </c>
      <c r="G444" t="s">
        <v>163</v>
      </c>
      <c r="I444" t="s">
        <v>68</v>
      </c>
      <c r="J444" t="s">
        <v>115</v>
      </c>
      <c r="K444" s="1">
        <v>45800</v>
      </c>
    </row>
    <row r="445" spans="1:11" x14ac:dyDescent="0.3">
      <c r="A445" t="s">
        <v>607</v>
      </c>
      <c r="B445" s="1">
        <v>45800</v>
      </c>
      <c r="C445" t="s">
        <v>27</v>
      </c>
      <c r="D445" t="s">
        <v>166</v>
      </c>
      <c r="E445">
        <v>928</v>
      </c>
      <c r="F445" t="s">
        <v>162</v>
      </c>
      <c r="G445" t="s">
        <v>163</v>
      </c>
      <c r="I445" t="s">
        <v>110</v>
      </c>
      <c r="J445" t="s">
        <v>121</v>
      </c>
      <c r="K445" s="1">
        <v>45835</v>
      </c>
    </row>
    <row r="446" spans="1:11" x14ac:dyDescent="0.3">
      <c r="A446" t="s">
        <v>608</v>
      </c>
      <c r="B446" s="1">
        <v>45700</v>
      </c>
      <c r="C446" t="s">
        <v>29</v>
      </c>
      <c r="D446" t="s">
        <v>166</v>
      </c>
      <c r="E446">
        <v>848</v>
      </c>
      <c r="F446" t="s">
        <v>162</v>
      </c>
      <c r="G446" t="s">
        <v>163</v>
      </c>
      <c r="I446" t="s">
        <v>51</v>
      </c>
      <c r="J446" t="s">
        <v>142</v>
      </c>
      <c r="K446" s="1">
        <v>45680</v>
      </c>
    </row>
    <row r="447" spans="1:11" x14ac:dyDescent="0.3">
      <c r="A447" t="s">
        <v>609</v>
      </c>
      <c r="B447" s="1">
        <v>45678</v>
      </c>
      <c r="C447" t="s">
        <v>37</v>
      </c>
      <c r="D447" t="s">
        <v>161</v>
      </c>
      <c r="E447">
        <v>897</v>
      </c>
      <c r="F447" t="s">
        <v>162</v>
      </c>
      <c r="G447" t="s">
        <v>163</v>
      </c>
      <c r="I447" t="s">
        <v>68</v>
      </c>
      <c r="J447" t="s">
        <v>115</v>
      </c>
      <c r="K447" s="1">
        <v>45826</v>
      </c>
    </row>
    <row r="448" spans="1:11" x14ac:dyDescent="0.3">
      <c r="A448" t="s">
        <v>610</v>
      </c>
      <c r="B448" s="1">
        <v>45772</v>
      </c>
      <c r="C448" t="s">
        <v>29</v>
      </c>
      <c r="D448" t="s">
        <v>166</v>
      </c>
      <c r="E448">
        <v>234</v>
      </c>
      <c r="F448" t="s">
        <v>162</v>
      </c>
      <c r="G448" t="s">
        <v>163</v>
      </c>
      <c r="I448" t="s">
        <v>57</v>
      </c>
      <c r="J448" t="s">
        <v>121</v>
      </c>
      <c r="K448" s="1">
        <v>45686</v>
      </c>
    </row>
    <row r="449" spans="1:11" x14ac:dyDescent="0.3">
      <c r="A449" t="s">
        <v>611</v>
      </c>
      <c r="B449" s="1">
        <v>45758</v>
      </c>
      <c r="C449" t="s">
        <v>41</v>
      </c>
      <c r="D449" t="s">
        <v>166</v>
      </c>
      <c r="E449">
        <v>878</v>
      </c>
      <c r="F449" t="s">
        <v>162</v>
      </c>
      <c r="G449" t="s">
        <v>163</v>
      </c>
      <c r="I449" t="s">
        <v>110</v>
      </c>
      <c r="J449" t="s">
        <v>142</v>
      </c>
      <c r="K449" s="1">
        <v>45679</v>
      </c>
    </row>
    <row r="450" spans="1:11" x14ac:dyDescent="0.3">
      <c r="A450" t="s">
        <v>612</v>
      </c>
      <c r="B450" s="1">
        <v>45758</v>
      </c>
      <c r="C450" t="s">
        <v>27</v>
      </c>
      <c r="D450" t="s">
        <v>161</v>
      </c>
      <c r="E450">
        <v>644</v>
      </c>
      <c r="F450" t="s">
        <v>162</v>
      </c>
      <c r="G450" t="s">
        <v>163</v>
      </c>
      <c r="I450" t="s">
        <v>54</v>
      </c>
      <c r="J450" t="s">
        <v>115</v>
      </c>
      <c r="K450" s="1">
        <v>45677</v>
      </c>
    </row>
    <row r="451" spans="1:11" x14ac:dyDescent="0.3">
      <c r="A451" t="s">
        <v>613</v>
      </c>
      <c r="B451" s="1">
        <v>45728</v>
      </c>
      <c r="C451" t="s">
        <v>41</v>
      </c>
      <c r="D451" t="s">
        <v>166</v>
      </c>
      <c r="E451">
        <v>796</v>
      </c>
      <c r="F451" t="s">
        <v>162</v>
      </c>
      <c r="G451" t="s">
        <v>163</v>
      </c>
      <c r="I451" t="s">
        <v>104</v>
      </c>
      <c r="J451" t="s">
        <v>118</v>
      </c>
      <c r="K451" s="1">
        <v>45736</v>
      </c>
    </row>
    <row r="452" spans="1:11" x14ac:dyDescent="0.3">
      <c r="A452" t="s">
        <v>614</v>
      </c>
      <c r="B452" s="1">
        <v>45825</v>
      </c>
      <c r="C452" t="s">
        <v>39</v>
      </c>
      <c r="D452" t="s">
        <v>161</v>
      </c>
      <c r="E452">
        <v>91</v>
      </c>
      <c r="F452" t="s">
        <v>162</v>
      </c>
      <c r="G452" t="s">
        <v>163</v>
      </c>
      <c r="I452" t="s">
        <v>78</v>
      </c>
      <c r="J452" t="s">
        <v>139</v>
      </c>
      <c r="K452" s="1">
        <v>45722</v>
      </c>
    </row>
    <row r="453" spans="1:11" x14ac:dyDescent="0.3">
      <c r="A453" t="s">
        <v>615</v>
      </c>
      <c r="B453" s="1">
        <v>45761</v>
      </c>
      <c r="C453" t="s">
        <v>39</v>
      </c>
      <c r="D453" t="s">
        <v>166</v>
      </c>
      <c r="E453">
        <v>418</v>
      </c>
      <c r="F453" t="s">
        <v>162</v>
      </c>
      <c r="G453" t="s">
        <v>163</v>
      </c>
      <c r="I453" t="s">
        <v>68</v>
      </c>
      <c r="J453" t="s">
        <v>127</v>
      </c>
      <c r="K453" s="1">
        <v>45755</v>
      </c>
    </row>
    <row r="454" spans="1:11" x14ac:dyDescent="0.3">
      <c r="A454" t="s">
        <v>616</v>
      </c>
      <c r="B454" s="1">
        <v>45693</v>
      </c>
      <c r="C454" t="s">
        <v>39</v>
      </c>
      <c r="D454" t="s">
        <v>166</v>
      </c>
      <c r="E454">
        <v>721</v>
      </c>
      <c r="F454" t="s">
        <v>162</v>
      </c>
      <c r="G454" t="s">
        <v>163</v>
      </c>
      <c r="I454" t="s">
        <v>78</v>
      </c>
      <c r="J454" t="s">
        <v>121</v>
      </c>
      <c r="K454" s="1">
        <v>45798</v>
      </c>
    </row>
    <row r="455" spans="1:11" x14ac:dyDescent="0.3">
      <c r="A455" t="s">
        <v>617</v>
      </c>
      <c r="B455" s="1">
        <v>45728</v>
      </c>
      <c r="C455" t="s">
        <v>39</v>
      </c>
      <c r="D455" t="s">
        <v>166</v>
      </c>
      <c r="E455">
        <v>280</v>
      </c>
      <c r="F455" t="s">
        <v>162</v>
      </c>
      <c r="G455" t="s">
        <v>163</v>
      </c>
      <c r="I455" t="s">
        <v>100</v>
      </c>
      <c r="J455" t="s">
        <v>136</v>
      </c>
      <c r="K455" s="1">
        <v>45720</v>
      </c>
    </row>
    <row r="456" spans="1:11" x14ac:dyDescent="0.3">
      <c r="A456" t="s">
        <v>618</v>
      </c>
      <c r="B456" s="1">
        <v>45800</v>
      </c>
      <c r="C456" t="s">
        <v>37</v>
      </c>
      <c r="D456" t="s">
        <v>161</v>
      </c>
      <c r="E456">
        <v>659</v>
      </c>
      <c r="F456" t="s">
        <v>162</v>
      </c>
      <c r="G456" t="s">
        <v>163</v>
      </c>
      <c r="I456" t="s">
        <v>54</v>
      </c>
      <c r="J456" t="s">
        <v>124</v>
      </c>
      <c r="K456" s="1">
        <v>45685</v>
      </c>
    </row>
    <row r="457" spans="1:11" x14ac:dyDescent="0.3">
      <c r="A457" t="s">
        <v>619</v>
      </c>
      <c r="B457" s="1">
        <v>45688</v>
      </c>
      <c r="C457" t="s">
        <v>41</v>
      </c>
      <c r="D457" t="s">
        <v>161</v>
      </c>
      <c r="E457">
        <v>569</v>
      </c>
      <c r="F457" t="s">
        <v>162</v>
      </c>
      <c r="G457" t="s">
        <v>163</v>
      </c>
      <c r="I457" t="s">
        <v>70</v>
      </c>
      <c r="J457" t="s">
        <v>127</v>
      </c>
      <c r="K457" s="1">
        <v>45817</v>
      </c>
    </row>
    <row r="458" spans="1:11" x14ac:dyDescent="0.3">
      <c r="A458" t="s">
        <v>620</v>
      </c>
      <c r="B458" s="1">
        <v>45754</v>
      </c>
      <c r="C458" t="s">
        <v>35</v>
      </c>
      <c r="D458" t="s">
        <v>161</v>
      </c>
      <c r="E458">
        <v>834</v>
      </c>
      <c r="F458" t="s">
        <v>162</v>
      </c>
      <c r="G458" t="s">
        <v>163</v>
      </c>
      <c r="I458" t="s">
        <v>90</v>
      </c>
      <c r="J458" t="s">
        <v>136</v>
      </c>
      <c r="K458" s="1">
        <v>45744</v>
      </c>
    </row>
    <row r="459" spans="1:11" x14ac:dyDescent="0.3">
      <c r="A459" t="s">
        <v>621</v>
      </c>
      <c r="B459" s="1">
        <v>45691</v>
      </c>
      <c r="C459" t="s">
        <v>39</v>
      </c>
      <c r="D459" t="s">
        <v>161</v>
      </c>
      <c r="E459">
        <v>230</v>
      </c>
      <c r="F459" t="s">
        <v>162</v>
      </c>
      <c r="G459" t="s">
        <v>163</v>
      </c>
      <c r="I459" t="s">
        <v>64</v>
      </c>
      <c r="J459" t="s">
        <v>130</v>
      </c>
      <c r="K459" s="1">
        <v>45714</v>
      </c>
    </row>
    <row r="460" spans="1:11" x14ac:dyDescent="0.3">
      <c r="A460" t="s">
        <v>622</v>
      </c>
      <c r="B460" s="1">
        <v>45786</v>
      </c>
      <c r="C460" t="s">
        <v>27</v>
      </c>
      <c r="D460" t="s">
        <v>166</v>
      </c>
      <c r="E460">
        <v>624</v>
      </c>
      <c r="F460" t="s">
        <v>162</v>
      </c>
      <c r="G460" t="s">
        <v>163</v>
      </c>
      <c r="I460" t="s">
        <v>48</v>
      </c>
      <c r="J460" t="s">
        <v>133</v>
      </c>
      <c r="K460" s="1">
        <v>45727</v>
      </c>
    </row>
    <row r="461" spans="1:11" x14ac:dyDescent="0.3">
      <c r="A461" t="s">
        <v>623</v>
      </c>
      <c r="B461" s="1">
        <v>45677</v>
      </c>
      <c r="C461" t="s">
        <v>39</v>
      </c>
      <c r="D461" t="s">
        <v>161</v>
      </c>
      <c r="E461">
        <v>451</v>
      </c>
      <c r="F461" t="s">
        <v>162</v>
      </c>
      <c r="G461" t="s">
        <v>163</v>
      </c>
      <c r="I461" t="s">
        <v>66</v>
      </c>
      <c r="J461" t="s">
        <v>130</v>
      </c>
      <c r="K461" s="1">
        <v>45828</v>
      </c>
    </row>
    <row r="462" spans="1:11" x14ac:dyDescent="0.3">
      <c r="A462" t="s">
        <v>624</v>
      </c>
      <c r="B462" s="1">
        <v>45784</v>
      </c>
      <c r="C462" t="s">
        <v>27</v>
      </c>
      <c r="D462" t="s">
        <v>161</v>
      </c>
      <c r="E462">
        <v>176</v>
      </c>
      <c r="F462" t="s">
        <v>162</v>
      </c>
      <c r="G462" t="s">
        <v>163</v>
      </c>
      <c r="I462" t="s">
        <v>94</v>
      </c>
      <c r="J462" t="s">
        <v>124</v>
      </c>
      <c r="K462" s="1">
        <v>45784</v>
      </c>
    </row>
    <row r="463" spans="1:11" x14ac:dyDescent="0.3">
      <c r="A463" t="s">
        <v>625</v>
      </c>
      <c r="B463" s="1">
        <v>45811</v>
      </c>
      <c r="C463" t="s">
        <v>29</v>
      </c>
      <c r="D463" t="s">
        <v>161</v>
      </c>
      <c r="E463">
        <v>991</v>
      </c>
      <c r="F463" t="s">
        <v>162</v>
      </c>
      <c r="G463" t="s">
        <v>163</v>
      </c>
      <c r="I463" t="s">
        <v>104</v>
      </c>
      <c r="J463" t="s">
        <v>136</v>
      </c>
      <c r="K463" s="1">
        <v>45792</v>
      </c>
    </row>
    <row r="464" spans="1:11" x14ac:dyDescent="0.3">
      <c r="A464" t="s">
        <v>626</v>
      </c>
      <c r="B464" s="1">
        <v>45686</v>
      </c>
      <c r="C464" t="s">
        <v>32</v>
      </c>
      <c r="D464" t="s">
        <v>166</v>
      </c>
      <c r="E464">
        <v>150</v>
      </c>
      <c r="F464" t="s">
        <v>162</v>
      </c>
      <c r="G464" t="s">
        <v>163</v>
      </c>
      <c r="I464" t="s">
        <v>51</v>
      </c>
      <c r="J464" t="s">
        <v>133</v>
      </c>
      <c r="K464" s="1">
        <v>45820</v>
      </c>
    </row>
    <row r="465" spans="1:11" x14ac:dyDescent="0.3">
      <c r="A465" t="s">
        <v>627</v>
      </c>
      <c r="B465" s="1">
        <v>45708</v>
      </c>
      <c r="C465" t="s">
        <v>35</v>
      </c>
      <c r="D465" t="s">
        <v>166</v>
      </c>
      <c r="E465">
        <v>696</v>
      </c>
      <c r="F465" t="s">
        <v>162</v>
      </c>
      <c r="G465" t="s">
        <v>163</v>
      </c>
      <c r="I465" t="s">
        <v>108</v>
      </c>
      <c r="J465" t="s">
        <v>136</v>
      </c>
      <c r="K465" s="1">
        <v>45799</v>
      </c>
    </row>
    <row r="466" spans="1:11" x14ac:dyDescent="0.3">
      <c r="A466" t="s">
        <v>628</v>
      </c>
      <c r="B466" s="1">
        <v>45701</v>
      </c>
      <c r="C466" t="s">
        <v>32</v>
      </c>
      <c r="D466" t="s">
        <v>166</v>
      </c>
      <c r="E466">
        <v>235</v>
      </c>
      <c r="F466" t="s">
        <v>162</v>
      </c>
      <c r="G466" t="s">
        <v>163</v>
      </c>
      <c r="I466" t="s">
        <v>86</v>
      </c>
      <c r="J466" t="s">
        <v>118</v>
      </c>
      <c r="K466" s="1">
        <v>45762</v>
      </c>
    </row>
    <row r="467" spans="1:11" x14ac:dyDescent="0.3">
      <c r="A467" t="s">
        <v>629</v>
      </c>
      <c r="B467" s="1">
        <v>45709</v>
      </c>
      <c r="C467" t="s">
        <v>35</v>
      </c>
      <c r="D467" t="s">
        <v>166</v>
      </c>
      <c r="E467">
        <v>34</v>
      </c>
      <c r="F467" t="s">
        <v>162</v>
      </c>
      <c r="G467" t="s">
        <v>163</v>
      </c>
      <c r="I467" t="s">
        <v>70</v>
      </c>
      <c r="J467" t="s">
        <v>133</v>
      </c>
      <c r="K467" s="1">
        <v>45688</v>
      </c>
    </row>
    <row r="468" spans="1:11" x14ac:dyDescent="0.3">
      <c r="A468" t="s">
        <v>630</v>
      </c>
      <c r="B468" s="1">
        <v>45714</v>
      </c>
      <c r="C468" t="s">
        <v>32</v>
      </c>
      <c r="D468" t="s">
        <v>166</v>
      </c>
      <c r="E468">
        <v>167</v>
      </c>
      <c r="F468" t="s">
        <v>162</v>
      </c>
      <c r="G468" t="s">
        <v>163</v>
      </c>
      <c r="I468" t="s">
        <v>57</v>
      </c>
      <c r="J468" t="s">
        <v>142</v>
      </c>
      <c r="K468" s="1">
        <v>45670</v>
      </c>
    </row>
    <row r="469" spans="1:11" x14ac:dyDescent="0.3">
      <c r="A469" t="s">
        <v>631</v>
      </c>
      <c r="B469" s="1">
        <v>45726</v>
      </c>
      <c r="C469" t="s">
        <v>43</v>
      </c>
      <c r="D469" t="s">
        <v>161</v>
      </c>
      <c r="E469">
        <v>668</v>
      </c>
      <c r="F469" t="s">
        <v>162</v>
      </c>
      <c r="G469" t="s">
        <v>163</v>
      </c>
      <c r="I469" t="s">
        <v>92</v>
      </c>
      <c r="J469" t="s">
        <v>133</v>
      </c>
      <c r="K469" s="1">
        <v>45694</v>
      </c>
    </row>
    <row r="470" spans="1:11" x14ac:dyDescent="0.3">
      <c r="A470" t="s">
        <v>632</v>
      </c>
      <c r="B470" s="1">
        <v>45811</v>
      </c>
      <c r="C470" t="s">
        <v>39</v>
      </c>
      <c r="D470" t="s">
        <v>161</v>
      </c>
      <c r="E470">
        <v>429</v>
      </c>
      <c r="F470" t="s">
        <v>162</v>
      </c>
      <c r="G470" t="s">
        <v>163</v>
      </c>
      <c r="I470" t="s">
        <v>70</v>
      </c>
      <c r="J470" t="s">
        <v>121</v>
      </c>
      <c r="K470" s="1">
        <v>45800</v>
      </c>
    </row>
    <row r="471" spans="1:11" x14ac:dyDescent="0.3">
      <c r="A471" t="s">
        <v>633</v>
      </c>
      <c r="B471" s="1">
        <v>45708</v>
      </c>
      <c r="C471" t="s">
        <v>32</v>
      </c>
      <c r="D471" t="s">
        <v>166</v>
      </c>
      <c r="E471">
        <v>55</v>
      </c>
      <c r="F471" t="s">
        <v>162</v>
      </c>
      <c r="G471" t="s">
        <v>163</v>
      </c>
      <c r="I471" t="s">
        <v>60</v>
      </c>
      <c r="J471" t="s">
        <v>130</v>
      </c>
      <c r="K471" s="1">
        <v>45712</v>
      </c>
    </row>
    <row r="472" spans="1:11" x14ac:dyDescent="0.3">
      <c r="A472" t="s">
        <v>634</v>
      </c>
      <c r="B472" s="1">
        <v>45832</v>
      </c>
      <c r="C472" t="s">
        <v>27</v>
      </c>
      <c r="D472" t="s">
        <v>166</v>
      </c>
      <c r="E472">
        <v>713</v>
      </c>
      <c r="F472" t="s">
        <v>162</v>
      </c>
      <c r="G472" t="s">
        <v>163</v>
      </c>
      <c r="I472" t="s">
        <v>68</v>
      </c>
      <c r="J472" t="s">
        <v>139</v>
      </c>
      <c r="K472" s="1">
        <v>45698</v>
      </c>
    </row>
    <row r="473" spans="1:11" x14ac:dyDescent="0.3">
      <c r="A473" t="s">
        <v>635</v>
      </c>
      <c r="B473" s="1">
        <v>45742</v>
      </c>
      <c r="C473" t="s">
        <v>41</v>
      </c>
      <c r="D473" t="s">
        <v>161</v>
      </c>
      <c r="E473">
        <v>792</v>
      </c>
      <c r="F473" t="s">
        <v>162</v>
      </c>
      <c r="G473" t="s">
        <v>163</v>
      </c>
      <c r="I473" t="s">
        <v>108</v>
      </c>
      <c r="J473" t="s">
        <v>115</v>
      </c>
      <c r="K473" s="1">
        <v>45730</v>
      </c>
    </row>
    <row r="474" spans="1:11" x14ac:dyDescent="0.3">
      <c r="A474" t="s">
        <v>636</v>
      </c>
      <c r="B474" s="1">
        <v>45673</v>
      </c>
      <c r="C474" t="s">
        <v>37</v>
      </c>
      <c r="D474" t="s">
        <v>166</v>
      </c>
      <c r="E474">
        <v>823</v>
      </c>
      <c r="F474" t="s">
        <v>162</v>
      </c>
      <c r="G474" t="s">
        <v>163</v>
      </c>
      <c r="I474" t="s">
        <v>92</v>
      </c>
      <c r="J474" t="s">
        <v>136</v>
      </c>
      <c r="K474" s="1">
        <v>45672</v>
      </c>
    </row>
    <row r="475" spans="1:11" x14ac:dyDescent="0.3">
      <c r="A475" t="s">
        <v>637</v>
      </c>
      <c r="B475" s="1">
        <v>45769</v>
      </c>
      <c r="C475" t="s">
        <v>32</v>
      </c>
      <c r="D475" t="s">
        <v>166</v>
      </c>
      <c r="E475">
        <v>656</v>
      </c>
      <c r="F475" t="s">
        <v>162</v>
      </c>
      <c r="G475" t="s">
        <v>163</v>
      </c>
      <c r="I475" t="s">
        <v>92</v>
      </c>
      <c r="J475" t="s">
        <v>121</v>
      </c>
      <c r="K475" s="1">
        <v>45803</v>
      </c>
    </row>
    <row r="476" spans="1:11" x14ac:dyDescent="0.3">
      <c r="A476" t="s">
        <v>638</v>
      </c>
      <c r="B476" s="1">
        <v>45707</v>
      </c>
      <c r="C476" t="s">
        <v>41</v>
      </c>
      <c r="D476" t="s">
        <v>161</v>
      </c>
      <c r="E476">
        <v>959</v>
      </c>
      <c r="F476" t="s">
        <v>162</v>
      </c>
      <c r="G476" t="s">
        <v>163</v>
      </c>
      <c r="I476" t="s">
        <v>106</v>
      </c>
      <c r="J476" t="s">
        <v>118</v>
      </c>
      <c r="K476" s="1">
        <v>45742</v>
      </c>
    </row>
    <row r="477" spans="1:11" x14ac:dyDescent="0.3">
      <c r="A477" t="s">
        <v>639</v>
      </c>
      <c r="B477" s="1">
        <v>45820</v>
      </c>
      <c r="C477" t="s">
        <v>43</v>
      </c>
      <c r="D477" t="s">
        <v>166</v>
      </c>
      <c r="E477">
        <v>564</v>
      </c>
      <c r="F477" t="s">
        <v>162</v>
      </c>
      <c r="G477" t="s">
        <v>163</v>
      </c>
      <c r="I477" t="s">
        <v>98</v>
      </c>
      <c r="J477" t="s">
        <v>127</v>
      </c>
      <c r="K477" s="1">
        <v>45707</v>
      </c>
    </row>
    <row r="478" spans="1:11" x14ac:dyDescent="0.3">
      <c r="A478" t="s">
        <v>640</v>
      </c>
      <c r="B478" s="1">
        <v>45769</v>
      </c>
      <c r="C478" t="s">
        <v>43</v>
      </c>
      <c r="D478" t="s">
        <v>166</v>
      </c>
      <c r="E478">
        <v>345</v>
      </c>
      <c r="F478" t="s">
        <v>162</v>
      </c>
      <c r="G478" t="s">
        <v>163</v>
      </c>
      <c r="I478" t="s">
        <v>96</v>
      </c>
      <c r="J478" t="s">
        <v>139</v>
      </c>
      <c r="K478" s="1">
        <v>45673</v>
      </c>
    </row>
    <row r="479" spans="1:11" x14ac:dyDescent="0.3">
      <c r="A479" t="s">
        <v>641</v>
      </c>
      <c r="B479" s="1">
        <v>45749</v>
      </c>
      <c r="C479" t="s">
        <v>29</v>
      </c>
      <c r="D479" t="s">
        <v>166</v>
      </c>
      <c r="E479">
        <v>922</v>
      </c>
      <c r="F479" t="s">
        <v>162</v>
      </c>
      <c r="G479" t="s">
        <v>163</v>
      </c>
      <c r="I479" t="s">
        <v>92</v>
      </c>
      <c r="J479" t="s">
        <v>133</v>
      </c>
      <c r="K479" s="1">
        <v>45756</v>
      </c>
    </row>
    <row r="480" spans="1:11" x14ac:dyDescent="0.3">
      <c r="A480" t="s">
        <v>642</v>
      </c>
      <c r="B480" s="1">
        <v>45828</v>
      </c>
      <c r="C480" t="s">
        <v>29</v>
      </c>
      <c r="D480" t="s">
        <v>166</v>
      </c>
      <c r="E480">
        <v>11</v>
      </c>
      <c r="F480" t="s">
        <v>162</v>
      </c>
      <c r="G480" t="s">
        <v>163</v>
      </c>
      <c r="I480" t="s">
        <v>84</v>
      </c>
      <c r="J480" t="s">
        <v>121</v>
      </c>
      <c r="K480" s="1">
        <v>45659</v>
      </c>
    </row>
    <row r="481" spans="1:11" x14ac:dyDescent="0.3">
      <c r="A481" t="s">
        <v>643</v>
      </c>
      <c r="B481" s="1">
        <v>45684</v>
      </c>
      <c r="C481" t="s">
        <v>39</v>
      </c>
      <c r="D481" t="s">
        <v>161</v>
      </c>
      <c r="E481">
        <v>16</v>
      </c>
      <c r="F481" t="s">
        <v>162</v>
      </c>
      <c r="G481" t="s">
        <v>163</v>
      </c>
      <c r="I481" t="s">
        <v>54</v>
      </c>
      <c r="J481" t="s">
        <v>124</v>
      </c>
      <c r="K481" s="1">
        <v>45810</v>
      </c>
    </row>
    <row r="482" spans="1:11" x14ac:dyDescent="0.3">
      <c r="A482" t="s">
        <v>644</v>
      </c>
      <c r="B482" s="1">
        <v>45700</v>
      </c>
      <c r="C482" t="s">
        <v>43</v>
      </c>
      <c r="D482" t="s">
        <v>166</v>
      </c>
      <c r="E482">
        <v>810</v>
      </c>
      <c r="F482" t="s">
        <v>162</v>
      </c>
      <c r="G482" t="s">
        <v>163</v>
      </c>
      <c r="I482" t="s">
        <v>78</v>
      </c>
      <c r="J482" t="s">
        <v>130</v>
      </c>
      <c r="K482" s="1">
        <v>45713</v>
      </c>
    </row>
    <row r="483" spans="1:11" x14ac:dyDescent="0.3">
      <c r="A483" t="s">
        <v>645</v>
      </c>
      <c r="B483" s="1">
        <v>45684</v>
      </c>
      <c r="C483" t="s">
        <v>43</v>
      </c>
      <c r="D483" t="s">
        <v>161</v>
      </c>
      <c r="E483">
        <v>858</v>
      </c>
      <c r="F483" t="s">
        <v>162</v>
      </c>
      <c r="G483" t="s">
        <v>163</v>
      </c>
      <c r="I483" t="s">
        <v>92</v>
      </c>
      <c r="J483" t="s">
        <v>133</v>
      </c>
      <c r="K483" s="1">
        <v>45688</v>
      </c>
    </row>
    <row r="484" spans="1:11" x14ac:dyDescent="0.3">
      <c r="A484" t="s">
        <v>646</v>
      </c>
      <c r="B484" s="1">
        <v>45770</v>
      </c>
      <c r="C484" t="s">
        <v>29</v>
      </c>
      <c r="D484" t="s">
        <v>166</v>
      </c>
      <c r="E484">
        <v>616</v>
      </c>
      <c r="F484" t="s">
        <v>162</v>
      </c>
      <c r="G484" t="s">
        <v>163</v>
      </c>
      <c r="I484" t="s">
        <v>76</v>
      </c>
      <c r="J484" t="s">
        <v>115</v>
      </c>
      <c r="K484" s="1">
        <v>45658</v>
      </c>
    </row>
    <row r="485" spans="1:11" x14ac:dyDescent="0.3">
      <c r="A485" t="s">
        <v>647</v>
      </c>
      <c r="B485" s="1">
        <v>45736</v>
      </c>
      <c r="C485" t="s">
        <v>43</v>
      </c>
      <c r="D485" t="s">
        <v>166</v>
      </c>
      <c r="E485">
        <v>666</v>
      </c>
      <c r="F485" t="s">
        <v>162</v>
      </c>
      <c r="G485" t="s">
        <v>163</v>
      </c>
      <c r="I485" t="s">
        <v>84</v>
      </c>
      <c r="J485" t="s">
        <v>136</v>
      </c>
      <c r="K485" s="1">
        <v>45826</v>
      </c>
    </row>
    <row r="486" spans="1:11" x14ac:dyDescent="0.3">
      <c r="A486" t="s">
        <v>648</v>
      </c>
      <c r="B486" s="1">
        <v>45686</v>
      </c>
      <c r="C486" t="s">
        <v>35</v>
      </c>
      <c r="D486" t="s">
        <v>166</v>
      </c>
      <c r="E486">
        <v>61</v>
      </c>
      <c r="F486" t="s">
        <v>162</v>
      </c>
      <c r="G486" t="s">
        <v>163</v>
      </c>
      <c r="I486" t="s">
        <v>62</v>
      </c>
      <c r="J486" t="s">
        <v>121</v>
      </c>
      <c r="K486" s="1">
        <v>45826</v>
      </c>
    </row>
    <row r="487" spans="1:11" x14ac:dyDescent="0.3">
      <c r="A487" t="s">
        <v>649</v>
      </c>
      <c r="B487" s="1">
        <v>45751</v>
      </c>
      <c r="C487" t="s">
        <v>41</v>
      </c>
      <c r="D487" t="s">
        <v>161</v>
      </c>
      <c r="E487">
        <v>515</v>
      </c>
      <c r="F487" t="s">
        <v>162</v>
      </c>
      <c r="G487" t="s">
        <v>163</v>
      </c>
      <c r="I487" t="s">
        <v>90</v>
      </c>
      <c r="J487" t="s">
        <v>121</v>
      </c>
      <c r="K487" s="1">
        <v>45680</v>
      </c>
    </row>
    <row r="488" spans="1:11" x14ac:dyDescent="0.3">
      <c r="A488" t="s">
        <v>650</v>
      </c>
      <c r="B488" s="1">
        <v>45807</v>
      </c>
      <c r="C488" t="s">
        <v>41</v>
      </c>
      <c r="D488" t="s">
        <v>166</v>
      </c>
      <c r="E488">
        <v>972</v>
      </c>
      <c r="F488" t="s">
        <v>162</v>
      </c>
      <c r="G488" t="s">
        <v>163</v>
      </c>
      <c r="I488" t="s">
        <v>80</v>
      </c>
      <c r="J488" t="s">
        <v>133</v>
      </c>
      <c r="K488" s="1">
        <v>45835</v>
      </c>
    </row>
    <row r="489" spans="1:11" x14ac:dyDescent="0.3">
      <c r="A489" t="s">
        <v>651</v>
      </c>
      <c r="B489" s="1">
        <v>45750</v>
      </c>
      <c r="C489" t="s">
        <v>35</v>
      </c>
      <c r="D489" t="s">
        <v>166</v>
      </c>
      <c r="E489">
        <v>814</v>
      </c>
      <c r="F489" t="s">
        <v>162</v>
      </c>
      <c r="G489" t="s">
        <v>163</v>
      </c>
      <c r="I489" t="s">
        <v>60</v>
      </c>
      <c r="J489" t="s">
        <v>115</v>
      </c>
      <c r="K489" s="1">
        <v>45733</v>
      </c>
    </row>
    <row r="490" spans="1:11" x14ac:dyDescent="0.3">
      <c r="A490" t="s">
        <v>652</v>
      </c>
      <c r="B490" s="1">
        <v>45827</v>
      </c>
      <c r="C490" t="s">
        <v>41</v>
      </c>
      <c r="D490" t="s">
        <v>166</v>
      </c>
      <c r="E490">
        <v>867</v>
      </c>
      <c r="F490" t="s">
        <v>162</v>
      </c>
      <c r="G490" t="s">
        <v>163</v>
      </c>
      <c r="I490" t="s">
        <v>68</v>
      </c>
      <c r="J490" t="s">
        <v>139</v>
      </c>
      <c r="K490" s="1">
        <v>45681</v>
      </c>
    </row>
    <row r="491" spans="1:11" x14ac:dyDescent="0.3">
      <c r="A491" t="s">
        <v>653</v>
      </c>
      <c r="B491" s="1">
        <v>45693</v>
      </c>
      <c r="C491" t="s">
        <v>43</v>
      </c>
      <c r="D491" t="s">
        <v>161</v>
      </c>
      <c r="E491">
        <v>50</v>
      </c>
      <c r="F491" t="s">
        <v>162</v>
      </c>
      <c r="G491" t="s">
        <v>163</v>
      </c>
      <c r="I491" t="s">
        <v>100</v>
      </c>
      <c r="J491" t="s">
        <v>142</v>
      </c>
      <c r="K491" s="1">
        <v>45702</v>
      </c>
    </row>
    <row r="492" spans="1:11" x14ac:dyDescent="0.3">
      <c r="A492" t="s">
        <v>654</v>
      </c>
      <c r="B492" s="1">
        <v>45741</v>
      </c>
      <c r="C492" t="s">
        <v>27</v>
      </c>
      <c r="D492" t="s">
        <v>166</v>
      </c>
      <c r="E492">
        <v>460</v>
      </c>
      <c r="F492" t="s">
        <v>162</v>
      </c>
      <c r="G492" t="s">
        <v>163</v>
      </c>
      <c r="I492" t="s">
        <v>82</v>
      </c>
      <c r="J492" t="s">
        <v>130</v>
      </c>
      <c r="K492" s="1">
        <v>45721</v>
      </c>
    </row>
    <row r="493" spans="1:11" x14ac:dyDescent="0.3">
      <c r="A493" t="s">
        <v>655</v>
      </c>
      <c r="B493" s="1">
        <v>45719</v>
      </c>
      <c r="C493" t="s">
        <v>32</v>
      </c>
      <c r="D493" t="s">
        <v>161</v>
      </c>
      <c r="E493">
        <v>153</v>
      </c>
      <c r="F493" t="s">
        <v>162</v>
      </c>
      <c r="G493" t="s">
        <v>163</v>
      </c>
      <c r="I493" t="s">
        <v>62</v>
      </c>
      <c r="J493" t="s">
        <v>124</v>
      </c>
      <c r="K493" s="1">
        <v>45807</v>
      </c>
    </row>
    <row r="494" spans="1:11" x14ac:dyDescent="0.3">
      <c r="A494" t="s">
        <v>656</v>
      </c>
      <c r="B494" s="1">
        <v>45799</v>
      </c>
      <c r="C494" t="s">
        <v>37</v>
      </c>
      <c r="D494" t="s">
        <v>161</v>
      </c>
      <c r="E494">
        <v>432</v>
      </c>
      <c r="F494" t="s">
        <v>162</v>
      </c>
      <c r="G494" t="s">
        <v>163</v>
      </c>
      <c r="I494" t="s">
        <v>110</v>
      </c>
      <c r="J494" t="s">
        <v>127</v>
      </c>
      <c r="K494" s="1">
        <v>45806</v>
      </c>
    </row>
    <row r="495" spans="1:11" x14ac:dyDescent="0.3">
      <c r="A495" t="s">
        <v>657</v>
      </c>
      <c r="B495" s="1">
        <v>45761</v>
      </c>
      <c r="C495" t="s">
        <v>29</v>
      </c>
      <c r="D495" t="s">
        <v>166</v>
      </c>
      <c r="E495">
        <v>562</v>
      </c>
      <c r="F495" t="s">
        <v>162</v>
      </c>
      <c r="G495" t="s">
        <v>163</v>
      </c>
      <c r="I495" t="s">
        <v>90</v>
      </c>
      <c r="J495" t="s">
        <v>139</v>
      </c>
      <c r="K495" s="1">
        <v>45743</v>
      </c>
    </row>
    <row r="496" spans="1:11" x14ac:dyDescent="0.3">
      <c r="A496" t="s">
        <v>658</v>
      </c>
      <c r="B496" s="1">
        <v>45778</v>
      </c>
      <c r="C496" t="s">
        <v>29</v>
      </c>
      <c r="D496" t="s">
        <v>161</v>
      </c>
      <c r="E496">
        <v>630</v>
      </c>
      <c r="F496" t="s">
        <v>162</v>
      </c>
      <c r="G496" t="s">
        <v>163</v>
      </c>
      <c r="I496" t="s">
        <v>108</v>
      </c>
      <c r="J496" t="s">
        <v>127</v>
      </c>
      <c r="K496" s="1">
        <v>45834</v>
      </c>
    </row>
    <row r="497" spans="1:11" x14ac:dyDescent="0.3">
      <c r="A497" t="s">
        <v>659</v>
      </c>
      <c r="B497" s="1">
        <v>45699</v>
      </c>
      <c r="C497" t="s">
        <v>35</v>
      </c>
      <c r="D497" t="s">
        <v>161</v>
      </c>
      <c r="E497">
        <v>965</v>
      </c>
      <c r="F497" t="s">
        <v>162</v>
      </c>
      <c r="G497" t="s">
        <v>163</v>
      </c>
      <c r="I497" t="s">
        <v>88</v>
      </c>
      <c r="J497" t="s">
        <v>136</v>
      </c>
      <c r="K497" s="1">
        <v>45702</v>
      </c>
    </row>
    <row r="498" spans="1:11" x14ac:dyDescent="0.3">
      <c r="A498" t="s">
        <v>660</v>
      </c>
      <c r="B498" s="1">
        <v>45826</v>
      </c>
      <c r="C498" t="s">
        <v>39</v>
      </c>
      <c r="D498" t="s">
        <v>166</v>
      </c>
      <c r="E498">
        <v>206</v>
      </c>
      <c r="F498" t="s">
        <v>162</v>
      </c>
      <c r="G498" t="s">
        <v>163</v>
      </c>
      <c r="I498" t="s">
        <v>64</v>
      </c>
      <c r="J498" t="s">
        <v>133</v>
      </c>
      <c r="K498" s="1">
        <v>45834</v>
      </c>
    </row>
    <row r="499" spans="1:11" x14ac:dyDescent="0.3">
      <c r="A499" t="s">
        <v>661</v>
      </c>
      <c r="B499" s="1">
        <v>45685</v>
      </c>
      <c r="C499" t="s">
        <v>35</v>
      </c>
      <c r="D499" t="s">
        <v>161</v>
      </c>
      <c r="E499">
        <v>537</v>
      </c>
      <c r="F499" t="s">
        <v>162</v>
      </c>
      <c r="G499" t="s">
        <v>163</v>
      </c>
      <c r="I499" t="s">
        <v>102</v>
      </c>
      <c r="J499" t="s">
        <v>139</v>
      </c>
      <c r="K499" s="1">
        <v>45796</v>
      </c>
    </row>
    <row r="500" spans="1:11" x14ac:dyDescent="0.3">
      <c r="A500" t="s">
        <v>662</v>
      </c>
      <c r="B500" s="1">
        <v>45715</v>
      </c>
      <c r="C500" t="s">
        <v>41</v>
      </c>
      <c r="D500" t="s">
        <v>166</v>
      </c>
      <c r="E500">
        <v>21</v>
      </c>
      <c r="F500" t="s">
        <v>162</v>
      </c>
      <c r="G500" t="s">
        <v>163</v>
      </c>
      <c r="I500" t="s">
        <v>57</v>
      </c>
      <c r="J500" t="s">
        <v>121</v>
      </c>
      <c r="K500" s="1">
        <v>45735</v>
      </c>
    </row>
    <row r="501" spans="1:11" x14ac:dyDescent="0.3">
      <c r="A501" t="s">
        <v>663</v>
      </c>
      <c r="B501" s="1">
        <v>45765</v>
      </c>
      <c r="C501" t="s">
        <v>35</v>
      </c>
      <c r="D501" t="s">
        <v>161</v>
      </c>
      <c r="E501">
        <v>902</v>
      </c>
      <c r="F501" t="s">
        <v>162</v>
      </c>
      <c r="G501" t="s">
        <v>163</v>
      </c>
      <c r="I501" t="s">
        <v>80</v>
      </c>
      <c r="J501" t="s">
        <v>121</v>
      </c>
      <c r="K501" s="1">
        <v>45749</v>
      </c>
    </row>
  </sheetData>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501"/>
  <sheetViews>
    <sheetView workbookViewId="0">
      <selection activeCell="A2" sqref="A2"/>
    </sheetView>
  </sheetViews>
  <sheetFormatPr defaultRowHeight="14.4" x14ac:dyDescent="0.3"/>
  <cols>
    <col min="1" max="1" width="15.6640625" bestFit="1" customWidth="1"/>
    <col min="2" max="2" width="10" customWidth="1"/>
    <col min="3" max="3" width="18.33203125" bestFit="1" customWidth="1"/>
    <col min="4" max="4" width="13.33203125" customWidth="1"/>
    <col min="5" max="5" width="6.21875" customWidth="1"/>
    <col min="6" max="6" width="10" customWidth="1"/>
    <col min="7" max="8" width="8" bestFit="1" customWidth="1"/>
    <col min="9" max="9" width="10.5546875" customWidth="1"/>
    <col min="10" max="10" width="12.77734375" customWidth="1"/>
    <col min="11" max="11" width="13.44140625" customWidth="1"/>
    <col min="12" max="12" width="18.33203125" bestFit="1" customWidth="1"/>
    <col min="13" max="13" width="15.109375" customWidth="1"/>
  </cols>
  <sheetData>
    <row r="1" spans="1:13" x14ac:dyDescent="0.3">
      <c r="A1" s="2" t="s">
        <v>664</v>
      </c>
      <c r="B1" s="2" t="s">
        <v>153</v>
      </c>
      <c r="C1" s="2" t="s">
        <v>665</v>
      </c>
      <c r="D1" s="2" t="s">
        <v>24</v>
      </c>
      <c r="E1" s="2" t="s">
        <v>155</v>
      </c>
      <c r="F1" s="2" t="s">
        <v>156</v>
      </c>
      <c r="G1" s="2" t="s">
        <v>666</v>
      </c>
      <c r="H1" s="2" t="s">
        <v>667</v>
      </c>
      <c r="I1" s="2" t="s">
        <v>45</v>
      </c>
      <c r="J1" s="2" t="s">
        <v>112</v>
      </c>
      <c r="K1" s="2" t="s">
        <v>0</v>
      </c>
      <c r="L1" s="2" t="s">
        <v>145</v>
      </c>
      <c r="M1" s="13" t="s">
        <v>1184</v>
      </c>
    </row>
    <row r="2" spans="1:13" x14ac:dyDescent="0.3">
      <c r="A2" t="s">
        <v>668</v>
      </c>
      <c r="B2" t="s">
        <v>207</v>
      </c>
      <c r="C2" s="1">
        <v>45713.019444444442</v>
      </c>
      <c r="D2" t="s">
        <v>37</v>
      </c>
      <c r="E2" t="s">
        <v>161</v>
      </c>
      <c r="F2">
        <v>827</v>
      </c>
      <c r="G2">
        <v>231.66</v>
      </c>
      <c r="H2">
        <v>95.79</v>
      </c>
      <c r="I2" t="s">
        <v>106</v>
      </c>
      <c r="J2" t="s">
        <v>139</v>
      </c>
      <c r="L2" s="1">
        <v>45786</v>
      </c>
      <c r="M2" s="9">
        <f>Table11[[#This Row],[quantity]]*Table11[[#This Row],[price]]</f>
        <v>191582.82</v>
      </c>
    </row>
    <row r="3" spans="1:13" x14ac:dyDescent="0.3">
      <c r="A3" t="s">
        <v>669</v>
      </c>
      <c r="B3" t="s">
        <v>310</v>
      </c>
      <c r="C3" s="1">
        <v>45726.023611111108</v>
      </c>
      <c r="D3" t="s">
        <v>43</v>
      </c>
      <c r="E3" t="s">
        <v>161</v>
      </c>
      <c r="F3">
        <v>665</v>
      </c>
      <c r="G3">
        <v>1099.75</v>
      </c>
      <c r="H3">
        <v>365.67</v>
      </c>
      <c r="I3" t="s">
        <v>70</v>
      </c>
      <c r="J3" t="s">
        <v>124</v>
      </c>
      <c r="L3" s="1">
        <v>45681</v>
      </c>
      <c r="M3" s="9">
        <f>Table11[[#This Row],[quantity]]*Table11[[#This Row],[price]]</f>
        <v>731333.75</v>
      </c>
    </row>
    <row r="4" spans="1:13" x14ac:dyDescent="0.3">
      <c r="A4" t="s">
        <v>670</v>
      </c>
      <c r="B4" t="s">
        <v>444</v>
      </c>
      <c r="C4" s="1">
        <v>45832.040972222218</v>
      </c>
      <c r="D4" t="s">
        <v>32</v>
      </c>
      <c r="E4" t="s">
        <v>166</v>
      </c>
      <c r="F4">
        <v>787</v>
      </c>
      <c r="G4">
        <v>2156.16</v>
      </c>
      <c r="H4">
        <v>848.45</v>
      </c>
      <c r="I4" t="s">
        <v>74</v>
      </c>
      <c r="J4" t="s">
        <v>133</v>
      </c>
      <c r="L4" s="1">
        <v>45714</v>
      </c>
      <c r="M4" s="9">
        <f>Table11[[#This Row],[quantity]]*Table11[[#This Row],[price]]</f>
        <v>1696897.92</v>
      </c>
    </row>
    <row r="5" spans="1:13" x14ac:dyDescent="0.3">
      <c r="A5" t="s">
        <v>671</v>
      </c>
      <c r="B5" t="s">
        <v>177</v>
      </c>
      <c r="C5" s="1">
        <v>45687.039583333331</v>
      </c>
      <c r="D5" t="s">
        <v>35</v>
      </c>
      <c r="E5" t="s">
        <v>161</v>
      </c>
      <c r="F5">
        <v>194</v>
      </c>
      <c r="G5">
        <v>604.46</v>
      </c>
      <c r="H5">
        <v>58.63</v>
      </c>
      <c r="I5" t="s">
        <v>82</v>
      </c>
      <c r="J5" t="s">
        <v>142</v>
      </c>
      <c r="L5" s="1">
        <v>45820</v>
      </c>
      <c r="M5" s="9">
        <f>Table11[[#This Row],[quantity]]*Table11[[#This Row],[price]]</f>
        <v>117265.24</v>
      </c>
    </row>
    <row r="6" spans="1:13" x14ac:dyDescent="0.3">
      <c r="A6" t="s">
        <v>672</v>
      </c>
      <c r="B6" t="s">
        <v>186</v>
      </c>
      <c r="C6" s="1">
        <v>45782.031944444447</v>
      </c>
      <c r="D6" t="s">
        <v>43</v>
      </c>
      <c r="E6" t="s">
        <v>161</v>
      </c>
      <c r="F6">
        <v>331</v>
      </c>
      <c r="G6">
        <v>1369.91</v>
      </c>
      <c r="H6">
        <v>226.72</v>
      </c>
      <c r="I6" t="s">
        <v>84</v>
      </c>
      <c r="J6" t="s">
        <v>142</v>
      </c>
      <c r="L6" s="1">
        <v>45673</v>
      </c>
      <c r="M6" s="9">
        <f>Table11[[#This Row],[quantity]]*Table11[[#This Row],[price]]</f>
        <v>453440.21</v>
      </c>
    </row>
    <row r="7" spans="1:13" x14ac:dyDescent="0.3">
      <c r="A7" t="s">
        <v>673</v>
      </c>
      <c r="B7" t="s">
        <v>553</v>
      </c>
      <c r="C7" s="1">
        <v>45749.022222222222</v>
      </c>
      <c r="D7" t="s">
        <v>37</v>
      </c>
      <c r="E7" t="s">
        <v>161</v>
      </c>
      <c r="F7">
        <v>330</v>
      </c>
      <c r="G7">
        <v>246.17</v>
      </c>
      <c r="H7">
        <v>40.619999999999997</v>
      </c>
      <c r="I7" t="s">
        <v>102</v>
      </c>
      <c r="J7" t="s">
        <v>133</v>
      </c>
      <c r="L7" s="1">
        <v>45762</v>
      </c>
      <c r="M7" s="9">
        <f>Table11[[#This Row],[quantity]]*Table11[[#This Row],[price]]</f>
        <v>81236.099999999991</v>
      </c>
    </row>
    <row r="8" spans="1:13" x14ac:dyDescent="0.3">
      <c r="A8" t="s">
        <v>674</v>
      </c>
      <c r="B8" t="s">
        <v>412</v>
      </c>
      <c r="C8" s="1">
        <v>45765.025000000001</v>
      </c>
      <c r="D8" t="s">
        <v>39</v>
      </c>
      <c r="E8" t="s">
        <v>161</v>
      </c>
      <c r="F8">
        <v>203</v>
      </c>
      <c r="G8">
        <v>241.39</v>
      </c>
      <c r="H8">
        <v>24.5</v>
      </c>
      <c r="I8" t="s">
        <v>90</v>
      </c>
      <c r="J8" t="s">
        <v>121</v>
      </c>
      <c r="L8" s="1">
        <v>45763</v>
      </c>
      <c r="M8" s="9">
        <f>Table11[[#This Row],[quantity]]*Table11[[#This Row],[price]]</f>
        <v>49002.17</v>
      </c>
    </row>
    <row r="9" spans="1:13" x14ac:dyDescent="0.3">
      <c r="A9" t="s">
        <v>675</v>
      </c>
      <c r="B9" t="s">
        <v>639</v>
      </c>
      <c r="C9" s="1">
        <v>45835.022222222222</v>
      </c>
      <c r="D9" t="s">
        <v>27</v>
      </c>
      <c r="E9" t="s">
        <v>161</v>
      </c>
      <c r="F9">
        <v>323</v>
      </c>
      <c r="G9">
        <v>784.63</v>
      </c>
      <c r="H9">
        <v>126.72</v>
      </c>
      <c r="I9" t="s">
        <v>110</v>
      </c>
      <c r="J9" t="s">
        <v>118</v>
      </c>
      <c r="L9" s="1">
        <v>45720</v>
      </c>
      <c r="M9" s="9">
        <f>Table11[[#This Row],[quantity]]*Table11[[#This Row],[price]]</f>
        <v>253435.49</v>
      </c>
    </row>
    <row r="10" spans="1:13" x14ac:dyDescent="0.3">
      <c r="A10" t="s">
        <v>676</v>
      </c>
      <c r="B10" t="s">
        <v>537</v>
      </c>
      <c r="C10" s="1">
        <v>45834.002083333333</v>
      </c>
      <c r="D10" t="s">
        <v>37</v>
      </c>
      <c r="E10" t="s">
        <v>166</v>
      </c>
      <c r="F10">
        <v>857</v>
      </c>
      <c r="G10">
        <v>255.49</v>
      </c>
      <c r="H10">
        <v>109.48</v>
      </c>
      <c r="I10" t="s">
        <v>104</v>
      </c>
      <c r="J10" t="s">
        <v>139</v>
      </c>
      <c r="L10" s="1">
        <v>45659</v>
      </c>
      <c r="M10" s="9">
        <f>Table11[[#This Row],[quantity]]*Table11[[#This Row],[price]]</f>
        <v>218954.93000000002</v>
      </c>
    </row>
    <row r="11" spans="1:13" x14ac:dyDescent="0.3">
      <c r="A11" t="s">
        <v>677</v>
      </c>
      <c r="B11" t="s">
        <v>540</v>
      </c>
      <c r="C11" s="1">
        <v>45803.001388888893</v>
      </c>
      <c r="D11" t="s">
        <v>41</v>
      </c>
      <c r="E11" t="s">
        <v>161</v>
      </c>
      <c r="F11">
        <v>764</v>
      </c>
      <c r="G11">
        <v>608.33000000000004</v>
      </c>
      <c r="H11">
        <v>232.38</v>
      </c>
      <c r="I11" t="s">
        <v>51</v>
      </c>
      <c r="J11" t="s">
        <v>133</v>
      </c>
      <c r="L11" s="1">
        <v>45734</v>
      </c>
      <c r="M11" s="9">
        <f>Table11[[#This Row],[quantity]]*Table11[[#This Row],[price]]</f>
        <v>464764.12000000005</v>
      </c>
    </row>
    <row r="12" spans="1:13" x14ac:dyDescent="0.3">
      <c r="A12" t="s">
        <v>678</v>
      </c>
      <c r="B12" t="s">
        <v>226</v>
      </c>
      <c r="C12" s="1">
        <v>45778.032638888893</v>
      </c>
      <c r="D12" t="s">
        <v>29</v>
      </c>
      <c r="E12" t="s">
        <v>161</v>
      </c>
      <c r="F12">
        <v>151</v>
      </c>
      <c r="G12">
        <v>1209.0999999999999</v>
      </c>
      <c r="H12">
        <v>91.29</v>
      </c>
      <c r="I12" t="s">
        <v>51</v>
      </c>
      <c r="J12" t="s">
        <v>115</v>
      </c>
      <c r="L12" s="1">
        <v>45810</v>
      </c>
      <c r="M12" s="9">
        <f>Table11[[#This Row],[quantity]]*Table11[[#This Row],[price]]</f>
        <v>182574.09999999998</v>
      </c>
    </row>
    <row r="13" spans="1:13" x14ac:dyDescent="0.3">
      <c r="A13" t="s">
        <v>679</v>
      </c>
      <c r="B13" t="s">
        <v>532</v>
      </c>
      <c r="C13" s="1">
        <v>45768.038888888892</v>
      </c>
      <c r="D13" t="s">
        <v>27</v>
      </c>
      <c r="E13" t="s">
        <v>161</v>
      </c>
      <c r="F13">
        <v>52</v>
      </c>
      <c r="G13">
        <v>798.26</v>
      </c>
      <c r="H13">
        <v>20.75</v>
      </c>
      <c r="I13" t="s">
        <v>54</v>
      </c>
      <c r="J13" t="s">
        <v>121</v>
      </c>
      <c r="L13" s="1">
        <v>45765</v>
      </c>
      <c r="M13" s="9">
        <f>Table11[[#This Row],[quantity]]*Table11[[#This Row],[price]]</f>
        <v>41509.519999999997</v>
      </c>
    </row>
    <row r="14" spans="1:13" x14ac:dyDescent="0.3">
      <c r="A14" t="s">
        <v>680</v>
      </c>
      <c r="B14" t="s">
        <v>511</v>
      </c>
      <c r="C14" s="1">
        <v>45701.024305555547</v>
      </c>
      <c r="D14" t="s">
        <v>41</v>
      </c>
      <c r="E14" t="s">
        <v>161</v>
      </c>
      <c r="F14">
        <v>945</v>
      </c>
      <c r="G14">
        <v>536.45000000000005</v>
      </c>
      <c r="H14">
        <v>253.47</v>
      </c>
      <c r="I14" t="s">
        <v>106</v>
      </c>
      <c r="J14" t="s">
        <v>118</v>
      </c>
      <c r="L14" s="1">
        <v>45838</v>
      </c>
      <c r="M14" s="9">
        <f>Table11[[#This Row],[quantity]]*Table11[[#This Row],[price]]</f>
        <v>506945.25000000006</v>
      </c>
    </row>
    <row r="15" spans="1:13" x14ac:dyDescent="0.3">
      <c r="A15" t="s">
        <v>681</v>
      </c>
      <c r="B15" t="s">
        <v>653</v>
      </c>
      <c r="C15" s="1">
        <v>45782.019444444442</v>
      </c>
      <c r="D15" t="s">
        <v>32</v>
      </c>
      <c r="E15" t="s">
        <v>161</v>
      </c>
      <c r="F15">
        <v>81</v>
      </c>
      <c r="G15">
        <v>2159.5</v>
      </c>
      <c r="H15">
        <v>87.46</v>
      </c>
      <c r="I15" t="s">
        <v>110</v>
      </c>
      <c r="J15" t="s">
        <v>118</v>
      </c>
      <c r="L15" s="1">
        <v>45812</v>
      </c>
      <c r="M15" s="9">
        <f>Table11[[#This Row],[quantity]]*Table11[[#This Row],[price]]</f>
        <v>174919.5</v>
      </c>
    </row>
    <row r="16" spans="1:13" x14ac:dyDescent="0.3">
      <c r="A16" t="s">
        <v>682</v>
      </c>
      <c r="B16" t="s">
        <v>356</v>
      </c>
      <c r="C16" s="1">
        <v>45733.037499999999</v>
      </c>
      <c r="D16" t="s">
        <v>29</v>
      </c>
      <c r="E16" t="s">
        <v>161</v>
      </c>
      <c r="F16">
        <v>353</v>
      </c>
      <c r="G16">
        <v>1335.42</v>
      </c>
      <c r="H16">
        <v>235.7</v>
      </c>
      <c r="I16" t="s">
        <v>72</v>
      </c>
      <c r="J16" t="s">
        <v>136</v>
      </c>
      <c r="L16" s="1">
        <v>45684</v>
      </c>
      <c r="M16" s="9">
        <f>Table11[[#This Row],[quantity]]*Table11[[#This Row],[price]]</f>
        <v>471403.26</v>
      </c>
    </row>
    <row r="17" spans="1:13" x14ac:dyDescent="0.3">
      <c r="A17" t="s">
        <v>683</v>
      </c>
      <c r="B17" t="s">
        <v>334</v>
      </c>
      <c r="C17" s="1">
        <v>45812.020833333343</v>
      </c>
      <c r="D17" t="s">
        <v>39</v>
      </c>
      <c r="E17" t="s">
        <v>161</v>
      </c>
      <c r="F17">
        <v>138</v>
      </c>
      <c r="G17">
        <v>245.54</v>
      </c>
      <c r="H17">
        <v>16.940000000000001</v>
      </c>
      <c r="I17" t="s">
        <v>106</v>
      </c>
      <c r="J17" t="s">
        <v>136</v>
      </c>
      <c r="L17" s="1">
        <v>45784</v>
      </c>
      <c r="M17" s="9">
        <f>Table11[[#This Row],[quantity]]*Table11[[#This Row],[price]]</f>
        <v>33884.519999999997</v>
      </c>
    </row>
    <row r="18" spans="1:13" x14ac:dyDescent="0.3">
      <c r="A18" t="s">
        <v>684</v>
      </c>
      <c r="B18" t="s">
        <v>213</v>
      </c>
      <c r="C18" s="1">
        <v>45807.027777777781</v>
      </c>
      <c r="D18" t="s">
        <v>32</v>
      </c>
      <c r="E18" t="s">
        <v>166</v>
      </c>
      <c r="F18">
        <v>213</v>
      </c>
      <c r="G18">
        <v>2239.9899999999998</v>
      </c>
      <c r="H18">
        <v>238.56</v>
      </c>
      <c r="I18" t="s">
        <v>106</v>
      </c>
      <c r="J18" t="s">
        <v>115</v>
      </c>
      <c r="L18" s="1">
        <v>45734</v>
      </c>
      <c r="M18" s="9">
        <f>Table11[[#This Row],[quantity]]*Table11[[#This Row],[price]]</f>
        <v>477117.86999999994</v>
      </c>
    </row>
    <row r="19" spans="1:13" x14ac:dyDescent="0.3">
      <c r="A19" t="s">
        <v>685</v>
      </c>
      <c r="B19" t="s">
        <v>634</v>
      </c>
      <c r="C19" s="1">
        <v>45777.002083333333</v>
      </c>
      <c r="D19" t="s">
        <v>43</v>
      </c>
      <c r="E19" t="s">
        <v>161</v>
      </c>
      <c r="F19">
        <v>485</v>
      </c>
      <c r="G19">
        <v>1377.06</v>
      </c>
      <c r="H19">
        <v>333.94</v>
      </c>
      <c r="I19" t="s">
        <v>57</v>
      </c>
      <c r="J19" t="s">
        <v>130</v>
      </c>
      <c r="L19" s="1">
        <v>45659</v>
      </c>
      <c r="M19" s="9">
        <f>Table11[[#This Row],[quantity]]*Table11[[#This Row],[price]]</f>
        <v>667874.1</v>
      </c>
    </row>
    <row r="20" spans="1:13" x14ac:dyDescent="0.3">
      <c r="A20" t="s">
        <v>686</v>
      </c>
      <c r="B20" t="s">
        <v>317</v>
      </c>
      <c r="C20" s="1">
        <v>45715.023611111108</v>
      </c>
      <c r="D20" t="s">
        <v>43</v>
      </c>
      <c r="E20" t="s">
        <v>166</v>
      </c>
      <c r="F20">
        <v>867</v>
      </c>
      <c r="G20">
        <v>1028.25</v>
      </c>
      <c r="H20">
        <v>445.75</v>
      </c>
      <c r="I20" t="s">
        <v>102</v>
      </c>
      <c r="J20" t="s">
        <v>121</v>
      </c>
      <c r="L20" s="1">
        <v>45833</v>
      </c>
      <c r="M20" s="9">
        <f>Table11[[#This Row],[quantity]]*Table11[[#This Row],[price]]</f>
        <v>891492.75</v>
      </c>
    </row>
    <row r="21" spans="1:13" x14ac:dyDescent="0.3">
      <c r="A21" t="s">
        <v>687</v>
      </c>
      <c r="B21" t="s">
        <v>313</v>
      </c>
      <c r="C21" s="1">
        <v>45712.040277777778</v>
      </c>
      <c r="D21" t="s">
        <v>41</v>
      </c>
      <c r="E21" t="s">
        <v>166</v>
      </c>
      <c r="F21">
        <v>444</v>
      </c>
      <c r="G21">
        <v>553.74</v>
      </c>
      <c r="H21">
        <v>122.93</v>
      </c>
      <c r="I21" t="s">
        <v>94</v>
      </c>
      <c r="J21" t="s">
        <v>136</v>
      </c>
      <c r="L21" s="1">
        <v>45694</v>
      </c>
      <c r="M21" s="9">
        <f>Table11[[#This Row],[quantity]]*Table11[[#This Row],[price]]</f>
        <v>245860.56</v>
      </c>
    </row>
    <row r="22" spans="1:13" x14ac:dyDescent="0.3">
      <c r="A22" t="s">
        <v>688</v>
      </c>
      <c r="B22" t="s">
        <v>330</v>
      </c>
      <c r="C22" s="1">
        <v>45672.025000000001</v>
      </c>
      <c r="D22" t="s">
        <v>37</v>
      </c>
      <c r="E22" t="s">
        <v>161</v>
      </c>
      <c r="F22">
        <v>815</v>
      </c>
      <c r="G22">
        <v>232.7</v>
      </c>
      <c r="H22">
        <v>94.83</v>
      </c>
      <c r="I22" t="s">
        <v>84</v>
      </c>
      <c r="J22" t="s">
        <v>133</v>
      </c>
      <c r="L22" s="1">
        <v>45681</v>
      </c>
      <c r="M22" s="9">
        <f>Table11[[#This Row],[quantity]]*Table11[[#This Row],[price]]</f>
        <v>189650.5</v>
      </c>
    </row>
    <row r="23" spans="1:13" x14ac:dyDescent="0.3">
      <c r="A23" t="s">
        <v>689</v>
      </c>
      <c r="B23" t="s">
        <v>190</v>
      </c>
      <c r="C23" s="1">
        <v>45757.010416666657</v>
      </c>
      <c r="D23" t="s">
        <v>41</v>
      </c>
      <c r="E23" t="s">
        <v>161</v>
      </c>
      <c r="F23">
        <v>452</v>
      </c>
      <c r="G23">
        <v>579.98</v>
      </c>
      <c r="H23">
        <v>131.08000000000001</v>
      </c>
      <c r="I23" t="s">
        <v>102</v>
      </c>
      <c r="J23" t="s">
        <v>142</v>
      </c>
      <c r="L23" s="1">
        <v>45735</v>
      </c>
      <c r="M23" s="9">
        <f>Table11[[#This Row],[quantity]]*Table11[[#This Row],[price]]</f>
        <v>262150.96000000002</v>
      </c>
    </row>
    <row r="24" spans="1:13" x14ac:dyDescent="0.3">
      <c r="A24" t="s">
        <v>690</v>
      </c>
      <c r="B24" t="s">
        <v>601</v>
      </c>
      <c r="C24" s="1">
        <v>45799.020833333343</v>
      </c>
      <c r="D24" t="s">
        <v>41</v>
      </c>
      <c r="E24" t="s">
        <v>166</v>
      </c>
      <c r="F24">
        <v>887</v>
      </c>
      <c r="G24">
        <v>597.48</v>
      </c>
      <c r="H24">
        <v>264.98</v>
      </c>
      <c r="I24" t="s">
        <v>98</v>
      </c>
      <c r="J24" t="s">
        <v>130</v>
      </c>
      <c r="L24" s="1">
        <v>45692</v>
      </c>
      <c r="M24" s="9">
        <f>Table11[[#This Row],[quantity]]*Table11[[#This Row],[price]]</f>
        <v>529964.76</v>
      </c>
    </row>
    <row r="25" spans="1:13" x14ac:dyDescent="0.3">
      <c r="A25" t="s">
        <v>691</v>
      </c>
      <c r="B25" t="s">
        <v>272</v>
      </c>
      <c r="C25" s="1">
        <v>45821.036111111112</v>
      </c>
      <c r="D25" t="s">
        <v>29</v>
      </c>
      <c r="E25" t="s">
        <v>166</v>
      </c>
      <c r="F25">
        <v>575</v>
      </c>
      <c r="G25">
        <v>1284.21</v>
      </c>
      <c r="H25">
        <v>369.21</v>
      </c>
      <c r="I25" t="s">
        <v>90</v>
      </c>
      <c r="J25" t="s">
        <v>133</v>
      </c>
      <c r="L25" s="1">
        <v>45728</v>
      </c>
      <c r="M25" s="9">
        <f>Table11[[#This Row],[quantity]]*Table11[[#This Row],[price]]</f>
        <v>738420.75</v>
      </c>
    </row>
    <row r="26" spans="1:13" x14ac:dyDescent="0.3">
      <c r="A26" t="s">
        <v>692</v>
      </c>
      <c r="B26" t="s">
        <v>241</v>
      </c>
      <c r="C26" s="1">
        <v>45811.011111111111</v>
      </c>
      <c r="D26" t="s">
        <v>29</v>
      </c>
      <c r="E26" t="s">
        <v>166</v>
      </c>
      <c r="F26">
        <v>643</v>
      </c>
      <c r="G26">
        <v>1249.6300000000001</v>
      </c>
      <c r="H26">
        <v>401.76</v>
      </c>
      <c r="I26" t="s">
        <v>108</v>
      </c>
      <c r="J26" t="s">
        <v>142</v>
      </c>
      <c r="L26" s="1">
        <v>45758</v>
      </c>
      <c r="M26" s="9">
        <f>Table11[[#This Row],[quantity]]*Table11[[#This Row],[price]]</f>
        <v>803512.09000000008</v>
      </c>
    </row>
    <row r="27" spans="1:13" x14ac:dyDescent="0.3">
      <c r="A27" t="s">
        <v>693</v>
      </c>
      <c r="B27" t="s">
        <v>439</v>
      </c>
      <c r="C27" s="1">
        <v>45693.004166666673</v>
      </c>
      <c r="D27" t="s">
        <v>39</v>
      </c>
      <c r="E27" t="s">
        <v>161</v>
      </c>
      <c r="F27">
        <v>930</v>
      </c>
      <c r="G27">
        <v>234.9</v>
      </c>
      <c r="H27">
        <v>109.23</v>
      </c>
      <c r="I27" t="s">
        <v>82</v>
      </c>
      <c r="J27" t="s">
        <v>127</v>
      </c>
      <c r="L27" s="1">
        <v>45715</v>
      </c>
      <c r="M27" s="9">
        <f>Table11[[#This Row],[quantity]]*Table11[[#This Row],[price]]</f>
        <v>218457</v>
      </c>
    </row>
    <row r="28" spans="1:13" x14ac:dyDescent="0.3">
      <c r="A28" t="s">
        <v>694</v>
      </c>
      <c r="B28" t="s">
        <v>562</v>
      </c>
      <c r="C28" s="1">
        <v>45706.007638888892</v>
      </c>
      <c r="D28" t="s">
        <v>41</v>
      </c>
      <c r="E28" t="s">
        <v>161</v>
      </c>
      <c r="F28">
        <v>807</v>
      </c>
      <c r="G28">
        <v>544.14</v>
      </c>
      <c r="H28">
        <v>219.56</v>
      </c>
      <c r="I28" t="s">
        <v>80</v>
      </c>
      <c r="J28" t="s">
        <v>118</v>
      </c>
      <c r="L28" s="1">
        <v>45772</v>
      </c>
      <c r="M28" s="9">
        <f>Table11[[#This Row],[quantity]]*Table11[[#This Row],[price]]</f>
        <v>439120.98</v>
      </c>
    </row>
    <row r="29" spans="1:13" x14ac:dyDescent="0.3">
      <c r="A29" t="s">
        <v>695</v>
      </c>
      <c r="B29" t="s">
        <v>345</v>
      </c>
      <c r="C29" s="1">
        <v>45799.037499999999</v>
      </c>
      <c r="D29" t="s">
        <v>41</v>
      </c>
      <c r="E29" t="s">
        <v>166</v>
      </c>
      <c r="F29">
        <v>627</v>
      </c>
      <c r="G29">
        <v>595.1</v>
      </c>
      <c r="H29">
        <v>186.56</v>
      </c>
      <c r="I29" t="s">
        <v>80</v>
      </c>
      <c r="J29" t="s">
        <v>139</v>
      </c>
      <c r="L29" s="1">
        <v>45658</v>
      </c>
      <c r="M29" s="9">
        <f>Table11[[#This Row],[quantity]]*Table11[[#This Row],[price]]</f>
        <v>373127.7</v>
      </c>
    </row>
    <row r="30" spans="1:13" x14ac:dyDescent="0.3">
      <c r="A30" t="s">
        <v>696</v>
      </c>
      <c r="B30" t="s">
        <v>480</v>
      </c>
      <c r="C30" s="1">
        <v>45778.025694444441</v>
      </c>
      <c r="D30" t="s">
        <v>27</v>
      </c>
      <c r="E30" t="s">
        <v>161</v>
      </c>
      <c r="F30">
        <v>226</v>
      </c>
      <c r="G30">
        <v>831.48</v>
      </c>
      <c r="H30">
        <v>93.96</v>
      </c>
      <c r="I30" t="s">
        <v>54</v>
      </c>
      <c r="J30" t="s">
        <v>118</v>
      </c>
      <c r="L30" s="1">
        <v>45806</v>
      </c>
      <c r="M30" s="9">
        <f>Table11[[#This Row],[quantity]]*Table11[[#This Row],[price]]</f>
        <v>187914.48</v>
      </c>
    </row>
    <row r="31" spans="1:13" x14ac:dyDescent="0.3">
      <c r="A31" t="s">
        <v>697</v>
      </c>
      <c r="B31" t="s">
        <v>377</v>
      </c>
      <c r="C31" s="1">
        <v>45832.038194444453</v>
      </c>
      <c r="D31" t="s">
        <v>35</v>
      </c>
      <c r="E31" t="s">
        <v>161</v>
      </c>
      <c r="F31">
        <v>315</v>
      </c>
      <c r="G31">
        <v>670.22</v>
      </c>
      <c r="H31">
        <v>105.56</v>
      </c>
      <c r="I31" t="s">
        <v>110</v>
      </c>
      <c r="J31" t="s">
        <v>124</v>
      </c>
      <c r="L31" s="1">
        <v>45692</v>
      </c>
      <c r="M31" s="9">
        <f>Table11[[#This Row],[quantity]]*Table11[[#This Row],[price]]</f>
        <v>211119.30000000002</v>
      </c>
    </row>
    <row r="32" spans="1:13" x14ac:dyDescent="0.3">
      <c r="A32" t="s">
        <v>698</v>
      </c>
      <c r="B32" t="s">
        <v>397</v>
      </c>
      <c r="C32" s="1">
        <v>45663.03402777778</v>
      </c>
      <c r="D32" t="s">
        <v>41</v>
      </c>
      <c r="E32" t="s">
        <v>166</v>
      </c>
      <c r="F32">
        <v>922</v>
      </c>
      <c r="G32">
        <v>452.75</v>
      </c>
      <c r="H32">
        <v>208.72</v>
      </c>
      <c r="I32" t="s">
        <v>80</v>
      </c>
      <c r="J32" t="s">
        <v>124</v>
      </c>
      <c r="L32" s="1">
        <v>45784</v>
      </c>
      <c r="M32" s="9">
        <f>Table11[[#This Row],[quantity]]*Table11[[#This Row],[price]]</f>
        <v>417435.5</v>
      </c>
    </row>
    <row r="33" spans="1:13" x14ac:dyDescent="0.3">
      <c r="A33" t="s">
        <v>699</v>
      </c>
      <c r="B33" t="s">
        <v>483</v>
      </c>
      <c r="C33" s="1">
        <v>45667.008333333331</v>
      </c>
      <c r="D33" t="s">
        <v>37</v>
      </c>
      <c r="E33" t="s">
        <v>161</v>
      </c>
      <c r="F33">
        <v>774</v>
      </c>
      <c r="G33">
        <v>233.56</v>
      </c>
      <c r="H33">
        <v>90.39</v>
      </c>
      <c r="I33" t="s">
        <v>94</v>
      </c>
      <c r="J33" t="s">
        <v>136</v>
      </c>
      <c r="L33" s="1">
        <v>45672</v>
      </c>
      <c r="M33" s="9">
        <f>Table11[[#This Row],[quantity]]*Table11[[#This Row],[price]]</f>
        <v>180775.44</v>
      </c>
    </row>
    <row r="34" spans="1:13" x14ac:dyDescent="0.3">
      <c r="A34" t="s">
        <v>700</v>
      </c>
      <c r="B34" t="s">
        <v>454</v>
      </c>
      <c r="C34" s="1">
        <v>45694.030555555553</v>
      </c>
      <c r="D34" t="s">
        <v>37</v>
      </c>
      <c r="E34" t="s">
        <v>166</v>
      </c>
      <c r="F34">
        <v>553</v>
      </c>
      <c r="G34">
        <v>232</v>
      </c>
      <c r="H34">
        <v>64.150000000000006</v>
      </c>
      <c r="I34" t="s">
        <v>78</v>
      </c>
      <c r="J34" t="s">
        <v>124</v>
      </c>
      <c r="L34" s="1">
        <v>45754</v>
      </c>
      <c r="M34" s="9">
        <f>Table11[[#This Row],[quantity]]*Table11[[#This Row],[price]]</f>
        <v>128296</v>
      </c>
    </row>
    <row r="35" spans="1:13" x14ac:dyDescent="0.3">
      <c r="A35" t="s">
        <v>701</v>
      </c>
      <c r="B35" t="s">
        <v>375</v>
      </c>
      <c r="C35" s="1">
        <v>45680.036805555559</v>
      </c>
      <c r="D35" t="s">
        <v>27</v>
      </c>
      <c r="E35" t="s">
        <v>166</v>
      </c>
      <c r="F35">
        <v>560</v>
      </c>
      <c r="G35">
        <v>727.77</v>
      </c>
      <c r="H35">
        <v>203.78</v>
      </c>
      <c r="I35" t="s">
        <v>108</v>
      </c>
      <c r="J35" t="s">
        <v>118</v>
      </c>
      <c r="L35" s="1">
        <v>45673</v>
      </c>
      <c r="M35" s="9">
        <f>Table11[[#This Row],[quantity]]*Table11[[#This Row],[price]]</f>
        <v>407551.2</v>
      </c>
    </row>
    <row r="36" spans="1:13" x14ac:dyDescent="0.3">
      <c r="A36" t="s">
        <v>702</v>
      </c>
      <c r="B36" t="s">
        <v>279</v>
      </c>
      <c r="C36" s="1">
        <v>45687.03402777778</v>
      </c>
      <c r="D36" t="s">
        <v>37</v>
      </c>
      <c r="E36" t="s">
        <v>166</v>
      </c>
      <c r="F36">
        <v>212</v>
      </c>
      <c r="G36">
        <v>233.74</v>
      </c>
      <c r="H36">
        <v>24.78</v>
      </c>
      <c r="I36" t="s">
        <v>76</v>
      </c>
      <c r="J36" t="s">
        <v>133</v>
      </c>
      <c r="L36" s="1">
        <v>45747</v>
      </c>
      <c r="M36" s="9">
        <f>Table11[[#This Row],[quantity]]*Table11[[#This Row],[price]]</f>
        <v>49552.880000000005</v>
      </c>
    </row>
    <row r="37" spans="1:13" x14ac:dyDescent="0.3">
      <c r="A37" t="s">
        <v>703</v>
      </c>
      <c r="B37" t="s">
        <v>404</v>
      </c>
      <c r="C37" s="1">
        <v>45778.015277777777</v>
      </c>
      <c r="D37" t="s">
        <v>39</v>
      </c>
      <c r="E37" t="s">
        <v>161</v>
      </c>
      <c r="F37">
        <v>99</v>
      </c>
      <c r="G37">
        <v>236.11</v>
      </c>
      <c r="H37">
        <v>11.69</v>
      </c>
      <c r="I37" t="s">
        <v>110</v>
      </c>
      <c r="J37" t="s">
        <v>121</v>
      </c>
      <c r="L37" s="1">
        <v>45658</v>
      </c>
      <c r="M37" s="9">
        <f>Table11[[#This Row],[quantity]]*Table11[[#This Row],[price]]</f>
        <v>23374.890000000003</v>
      </c>
    </row>
    <row r="38" spans="1:13" x14ac:dyDescent="0.3">
      <c r="A38" t="s">
        <v>704</v>
      </c>
      <c r="B38" t="s">
        <v>534</v>
      </c>
      <c r="C38" s="1">
        <v>45798.017361111109</v>
      </c>
      <c r="D38" t="s">
        <v>32</v>
      </c>
      <c r="E38" t="s">
        <v>166</v>
      </c>
      <c r="F38">
        <v>923</v>
      </c>
      <c r="G38">
        <v>2194.71</v>
      </c>
      <c r="H38">
        <v>1012.86</v>
      </c>
      <c r="I38" t="s">
        <v>48</v>
      </c>
      <c r="J38" t="s">
        <v>127</v>
      </c>
      <c r="L38" s="1">
        <v>45694</v>
      </c>
      <c r="M38" s="9">
        <f>Table11[[#This Row],[quantity]]*Table11[[#This Row],[price]]</f>
        <v>2025717.33</v>
      </c>
    </row>
    <row r="39" spans="1:13" x14ac:dyDescent="0.3">
      <c r="A39" t="s">
        <v>705</v>
      </c>
      <c r="B39" t="s">
        <v>310</v>
      </c>
      <c r="C39" s="1">
        <v>45763.027083333327</v>
      </c>
      <c r="D39" t="s">
        <v>35</v>
      </c>
      <c r="E39" t="s">
        <v>161</v>
      </c>
      <c r="F39">
        <v>768</v>
      </c>
      <c r="G39">
        <v>640.69000000000005</v>
      </c>
      <c r="H39">
        <v>246.02</v>
      </c>
      <c r="I39" t="s">
        <v>66</v>
      </c>
      <c r="J39" t="s">
        <v>121</v>
      </c>
      <c r="L39" s="1">
        <v>45734</v>
      </c>
      <c r="M39" s="9">
        <f>Table11[[#This Row],[quantity]]*Table11[[#This Row],[price]]</f>
        <v>492049.92000000004</v>
      </c>
    </row>
    <row r="40" spans="1:13" x14ac:dyDescent="0.3">
      <c r="A40" t="s">
        <v>706</v>
      </c>
      <c r="B40" t="s">
        <v>328</v>
      </c>
      <c r="C40" s="1">
        <v>45820.002083333333</v>
      </c>
      <c r="D40" t="s">
        <v>41</v>
      </c>
      <c r="E40" t="s">
        <v>166</v>
      </c>
      <c r="F40">
        <v>181</v>
      </c>
      <c r="G40">
        <v>620.78</v>
      </c>
      <c r="H40">
        <v>56.18</v>
      </c>
      <c r="I40" t="s">
        <v>100</v>
      </c>
      <c r="J40" t="s">
        <v>121</v>
      </c>
      <c r="L40" s="1">
        <v>45812</v>
      </c>
      <c r="M40" s="9">
        <f>Table11[[#This Row],[quantity]]*Table11[[#This Row],[price]]</f>
        <v>112361.18</v>
      </c>
    </row>
    <row r="41" spans="1:13" x14ac:dyDescent="0.3">
      <c r="A41" t="s">
        <v>707</v>
      </c>
      <c r="B41" t="s">
        <v>422</v>
      </c>
      <c r="C41" s="1">
        <v>45790.035416666673</v>
      </c>
      <c r="D41" t="s">
        <v>43</v>
      </c>
      <c r="E41" t="s">
        <v>161</v>
      </c>
      <c r="F41">
        <v>387</v>
      </c>
      <c r="G41">
        <v>1340.37</v>
      </c>
      <c r="H41">
        <v>259.36</v>
      </c>
      <c r="I41" t="s">
        <v>102</v>
      </c>
      <c r="J41" t="s">
        <v>136</v>
      </c>
      <c r="L41" s="1">
        <v>45693</v>
      </c>
      <c r="M41" s="9">
        <f>Table11[[#This Row],[quantity]]*Table11[[#This Row],[price]]</f>
        <v>518723.18999999994</v>
      </c>
    </row>
    <row r="42" spans="1:13" x14ac:dyDescent="0.3">
      <c r="A42" t="s">
        <v>708</v>
      </c>
      <c r="B42" t="s">
        <v>170</v>
      </c>
      <c r="C42" s="1">
        <v>45786.015972222223</v>
      </c>
      <c r="D42" t="s">
        <v>39</v>
      </c>
      <c r="E42" t="s">
        <v>166</v>
      </c>
      <c r="F42">
        <v>993</v>
      </c>
      <c r="G42">
        <v>226.75</v>
      </c>
      <c r="H42">
        <v>112.58</v>
      </c>
      <c r="I42" t="s">
        <v>86</v>
      </c>
      <c r="J42" t="s">
        <v>124</v>
      </c>
      <c r="L42" s="1">
        <v>45820</v>
      </c>
      <c r="M42" s="9">
        <f>Table11[[#This Row],[quantity]]*Table11[[#This Row],[price]]</f>
        <v>225162.75</v>
      </c>
    </row>
    <row r="43" spans="1:13" x14ac:dyDescent="0.3">
      <c r="A43" t="s">
        <v>709</v>
      </c>
      <c r="B43" t="s">
        <v>297</v>
      </c>
      <c r="C43" s="1">
        <v>45790.009722222218</v>
      </c>
      <c r="D43" t="s">
        <v>41</v>
      </c>
      <c r="E43" t="s">
        <v>166</v>
      </c>
      <c r="F43">
        <v>919</v>
      </c>
      <c r="G43">
        <v>604.14</v>
      </c>
      <c r="H43">
        <v>277.60000000000002</v>
      </c>
      <c r="I43" t="s">
        <v>94</v>
      </c>
      <c r="J43" t="s">
        <v>142</v>
      </c>
      <c r="L43" s="1">
        <v>45770</v>
      </c>
      <c r="M43" s="9">
        <f>Table11[[#This Row],[quantity]]*Table11[[#This Row],[price]]</f>
        <v>555204.66</v>
      </c>
    </row>
    <row r="44" spans="1:13" x14ac:dyDescent="0.3">
      <c r="A44" t="s">
        <v>710</v>
      </c>
      <c r="B44" t="s">
        <v>173</v>
      </c>
      <c r="C44" s="1">
        <v>45715.008333333331</v>
      </c>
      <c r="D44" t="s">
        <v>29</v>
      </c>
      <c r="E44" t="s">
        <v>161</v>
      </c>
      <c r="F44">
        <v>62</v>
      </c>
      <c r="G44">
        <v>1264.82</v>
      </c>
      <c r="H44">
        <v>39.21</v>
      </c>
      <c r="I44" t="s">
        <v>90</v>
      </c>
      <c r="J44" t="s">
        <v>133</v>
      </c>
      <c r="L44" s="1">
        <v>45705</v>
      </c>
      <c r="M44" s="9">
        <f>Table11[[#This Row],[quantity]]*Table11[[#This Row],[price]]</f>
        <v>78418.84</v>
      </c>
    </row>
    <row r="45" spans="1:13" x14ac:dyDescent="0.3">
      <c r="A45" t="s">
        <v>711</v>
      </c>
      <c r="B45" t="s">
        <v>443</v>
      </c>
      <c r="C45" s="1">
        <v>45671.037499999999</v>
      </c>
      <c r="D45" t="s">
        <v>43</v>
      </c>
      <c r="E45" t="s">
        <v>161</v>
      </c>
      <c r="F45">
        <v>357</v>
      </c>
      <c r="G45">
        <v>996.18</v>
      </c>
      <c r="H45">
        <v>177.82</v>
      </c>
      <c r="I45" t="s">
        <v>84</v>
      </c>
      <c r="J45" t="s">
        <v>130</v>
      </c>
      <c r="L45" s="1">
        <v>45798</v>
      </c>
      <c r="M45" s="9">
        <f>Table11[[#This Row],[quantity]]*Table11[[#This Row],[price]]</f>
        <v>355636.26</v>
      </c>
    </row>
    <row r="46" spans="1:13" x14ac:dyDescent="0.3">
      <c r="A46" t="s">
        <v>712</v>
      </c>
      <c r="B46" t="s">
        <v>521</v>
      </c>
      <c r="C46" s="1">
        <v>45786.031944444447</v>
      </c>
      <c r="D46" t="s">
        <v>43</v>
      </c>
      <c r="E46" t="s">
        <v>161</v>
      </c>
      <c r="F46">
        <v>156</v>
      </c>
      <c r="G46">
        <v>1330.8</v>
      </c>
      <c r="H46">
        <v>103.8</v>
      </c>
      <c r="I46" t="s">
        <v>78</v>
      </c>
      <c r="J46" t="s">
        <v>136</v>
      </c>
      <c r="L46" s="1">
        <v>45798</v>
      </c>
      <c r="M46" s="9">
        <f>Table11[[#This Row],[quantity]]*Table11[[#This Row],[price]]</f>
        <v>207604.8</v>
      </c>
    </row>
    <row r="47" spans="1:13" x14ac:dyDescent="0.3">
      <c r="A47" t="s">
        <v>713</v>
      </c>
      <c r="B47" t="s">
        <v>173</v>
      </c>
      <c r="C47" s="1">
        <v>45778.006944444453</v>
      </c>
      <c r="D47" t="s">
        <v>43</v>
      </c>
      <c r="E47" t="s">
        <v>161</v>
      </c>
      <c r="F47">
        <v>25</v>
      </c>
      <c r="G47">
        <v>1385.23</v>
      </c>
      <c r="H47">
        <v>17.32</v>
      </c>
      <c r="I47" t="s">
        <v>86</v>
      </c>
      <c r="J47" t="s">
        <v>115</v>
      </c>
      <c r="L47" s="1">
        <v>45674</v>
      </c>
      <c r="M47" s="9">
        <f>Table11[[#This Row],[quantity]]*Table11[[#This Row],[price]]</f>
        <v>34630.75</v>
      </c>
    </row>
    <row r="48" spans="1:13" x14ac:dyDescent="0.3">
      <c r="A48" t="s">
        <v>714</v>
      </c>
      <c r="B48" t="s">
        <v>269</v>
      </c>
      <c r="C48" s="1">
        <v>45756.032638888893</v>
      </c>
      <c r="D48" t="s">
        <v>43</v>
      </c>
      <c r="E48" t="s">
        <v>166</v>
      </c>
      <c r="F48">
        <v>24</v>
      </c>
      <c r="G48">
        <v>1251.5899999999999</v>
      </c>
      <c r="H48">
        <v>15.02</v>
      </c>
      <c r="I48" t="s">
        <v>48</v>
      </c>
      <c r="J48" t="s">
        <v>133</v>
      </c>
      <c r="L48" s="1">
        <v>45783</v>
      </c>
      <c r="M48" s="9">
        <f>Table11[[#This Row],[quantity]]*Table11[[#This Row],[price]]</f>
        <v>30038.159999999996</v>
      </c>
    </row>
    <row r="49" spans="1:13" x14ac:dyDescent="0.3">
      <c r="A49" t="s">
        <v>715</v>
      </c>
      <c r="B49" t="s">
        <v>357</v>
      </c>
      <c r="C49" s="1">
        <v>45811.03125</v>
      </c>
      <c r="D49" t="s">
        <v>32</v>
      </c>
      <c r="E49" t="s">
        <v>161</v>
      </c>
      <c r="F49">
        <v>721</v>
      </c>
      <c r="G49">
        <v>2211.46</v>
      </c>
      <c r="H49">
        <v>797.23</v>
      </c>
      <c r="I49" t="s">
        <v>54</v>
      </c>
      <c r="J49" t="s">
        <v>115</v>
      </c>
      <c r="L49" s="1">
        <v>45758</v>
      </c>
      <c r="M49" s="9">
        <f>Table11[[#This Row],[quantity]]*Table11[[#This Row],[price]]</f>
        <v>1594462.66</v>
      </c>
    </row>
    <row r="50" spans="1:13" x14ac:dyDescent="0.3">
      <c r="A50" t="s">
        <v>716</v>
      </c>
      <c r="B50" t="s">
        <v>424</v>
      </c>
      <c r="C50" s="1">
        <v>45813.015277777777</v>
      </c>
      <c r="D50" t="s">
        <v>37</v>
      </c>
      <c r="E50" t="s">
        <v>161</v>
      </c>
      <c r="F50">
        <v>855</v>
      </c>
      <c r="G50">
        <v>255.35</v>
      </c>
      <c r="H50">
        <v>109.16</v>
      </c>
      <c r="I50" t="s">
        <v>76</v>
      </c>
      <c r="J50" t="s">
        <v>142</v>
      </c>
      <c r="L50" s="1">
        <v>45785</v>
      </c>
      <c r="M50" s="9">
        <f>Table11[[#This Row],[quantity]]*Table11[[#This Row],[price]]</f>
        <v>218324.25</v>
      </c>
    </row>
    <row r="51" spans="1:13" x14ac:dyDescent="0.3">
      <c r="A51" t="s">
        <v>717</v>
      </c>
      <c r="B51" t="s">
        <v>205</v>
      </c>
      <c r="C51" s="1">
        <v>45716.031944444447</v>
      </c>
      <c r="D51" t="s">
        <v>35</v>
      </c>
      <c r="E51" t="s">
        <v>161</v>
      </c>
      <c r="F51">
        <v>855</v>
      </c>
      <c r="G51">
        <v>665.51</v>
      </c>
      <c r="H51">
        <v>284.51</v>
      </c>
      <c r="I51" t="s">
        <v>48</v>
      </c>
      <c r="J51" t="s">
        <v>133</v>
      </c>
      <c r="L51" s="1">
        <v>45810</v>
      </c>
      <c r="M51" s="9">
        <f>Table11[[#This Row],[quantity]]*Table11[[#This Row],[price]]</f>
        <v>569011.05000000005</v>
      </c>
    </row>
    <row r="52" spans="1:13" x14ac:dyDescent="0.3">
      <c r="A52" t="s">
        <v>718</v>
      </c>
      <c r="B52" t="s">
        <v>390</v>
      </c>
      <c r="C52" s="1">
        <v>45735.03125</v>
      </c>
      <c r="D52" t="s">
        <v>37</v>
      </c>
      <c r="E52" t="s">
        <v>166</v>
      </c>
      <c r="F52">
        <v>164</v>
      </c>
      <c r="G52">
        <v>245.53</v>
      </c>
      <c r="H52">
        <v>20.13</v>
      </c>
      <c r="I52" t="s">
        <v>68</v>
      </c>
      <c r="J52" t="s">
        <v>127</v>
      </c>
      <c r="L52" s="1">
        <v>45751</v>
      </c>
      <c r="M52" s="9">
        <f>Table11[[#This Row],[quantity]]*Table11[[#This Row],[price]]</f>
        <v>40266.92</v>
      </c>
    </row>
    <row r="53" spans="1:13" x14ac:dyDescent="0.3">
      <c r="A53" t="s">
        <v>719</v>
      </c>
      <c r="B53" t="s">
        <v>160</v>
      </c>
      <c r="C53" s="1">
        <v>45750.03402777778</v>
      </c>
      <c r="D53" t="s">
        <v>32</v>
      </c>
      <c r="E53" t="s">
        <v>166</v>
      </c>
      <c r="F53">
        <v>931</v>
      </c>
      <c r="G53">
        <v>2226.41</v>
      </c>
      <c r="H53">
        <v>1036.3900000000001</v>
      </c>
      <c r="I53" t="s">
        <v>57</v>
      </c>
      <c r="J53" t="s">
        <v>136</v>
      </c>
      <c r="L53" s="1">
        <v>45743</v>
      </c>
      <c r="M53" s="9">
        <f>Table11[[#This Row],[quantity]]*Table11[[#This Row],[price]]</f>
        <v>2072787.71</v>
      </c>
    </row>
    <row r="54" spans="1:13" x14ac:dyDescent="0.3">
      <c r="A54" t="s">
        <v>720</v>
      </c>
      <c r="B54" t="s">
        <v>551</v>
      </c>
      <c r="C54" s="1">
        <v>45821.013194444437</v>
      </c>
      <c r="D54" t="s">
        <v>29</v>
      </c>
      <c r="E54" t="s">
        <v>166</v>
      </c>
      <c r="F54">
        <v>859</v>
      </c>
      <c r="G54">
        <v>1285.55</v>
      </c>
      <c r="H54">
        <v>552.14</v>
      </c>
      <c r="I54" t="s">
        <v>104</v>
      </c>
      <c r="J54" t="s">
        <v>118</v>
      </c>
      <c r="L54" s="1">
        <v>45832</v>
      </c>
      <c r="M54" s="9">
        <f>Table11[[#This Row],[quantity]]*Table11[[#This Row],[price]]</f>
        <v>1104287.45</v>
      </c>
    </row>
    <row r="55" spans="1:13" x14ac:dyDescent="0.3">
      <c r="A55" t="s">
        <v>721</v>
      </c>
      <c r="B55" t="s">
        <v>589</v>
      </c>
      <c r="C55" s="1">
        <v>45812.00277777778</v>
      </c>
      <c r="D55" t="s">
        <v>43</v>
      </c>
      <c r="E55" t="s">
        <v>166</v>
      </c>
      <c r="F55">
        <v>770</v>
      </c>
      <c r="G55">
        <v>1379.83</v>
      </c>
      <c r="H55">
        <v>531.23</v>
      </c>
      <c r="I55" t="s">
        <v>54</v>
      </c>
      <c r="J55" t="s">
        <v>124</v>
      </c>
      <c r="L55" s="1">
        <v>45706</v>
      </c>
      <c r="M55" s="9">
        <f>Table11[[#This Row],[quantity]]*Table11[[#This Row],[price]]</f>
        <v>1062469.0999999999</v>
      </c>
    </row>
    <row r="56" spans="1:13" x14ac:dyDescent="0.3">
      <c r="A56" t="s">
        <v>722</v>
      </c>
      <c r="B56" t="s">
        <v>219</v>
      </c>
      <c r="C56" s="1">
        <v>45677.008333333331</v>
      </c>
      <c r="D56" t="s">
        <v>35</v>
      </c>
      <c r="E56" t="s">
        <v>161</v>
      </c>
      <c r="F56">
        <v>383</v>
      </c>
      <c r="G56">
        <v>600.54</v>
      </c>
      <c r="H56">
        <v>115</v>
      </c>
      <c r="I56" t="s">
        <v>110</v>
      </c>
      <c r="J56" t="s">
        <v>136</v>
      </c>
      <c r="L56" s="1">
        <v>45820</v>
      </c>
      <c r="M56" s="9">
        <f>Table11[[#This Row],[quantity]]*Table11[[#This Row],[price]]</f>
        <v>230006.81999999998</v>
      </c>
    </row>
    <row r="57" spans="1:13" x14ac:dyDescent="0.3">
      <c r="A57" t="s">
        <v>723</v>
      </c>
      <c r="B57" t="s">
        <v>477</v>
      </c>
      <c r="C57" s="1">
        <v>45785.002083333333</v>
      </c>
      <c r="D57" t="s">
        <v>43</v>
      </c>
      <c r="E57" t="s">
        <v>166</v>
      </c>
      <c r="F57">
        <v>965</v>
      </c>
      <c r="G57">
        <v>1366.78</v>
      </c>
      <c r="H57">
        <v>659.47</v>
      </c>
      <c r="I57" t="s">
        <v>54</v>
      </c>
      <c r="J57" t="s">
        <v>121</v>
      </c>
      <c r="L57" s="1">
        <v>45685</v>
      </c>
      <c r="M57" s="9">
        <f>Table11[[#This Row],[quantity]]*Table11[[#This Row],[price]]</f>
        <v>1318942.7</v>
      </c>
    </row>
    <row r="58" spans="1:13" x14ac:dyDescent="0.3">
      <c r="A58" t="s">
        <v>724</v>
      </c>
      <c r="B58" t="s">
        <v>617</v>
      </c>
      <c r="C58" s="1">
        <v>45708.01666666667</v>
      </c>
      <c r="D58" t="s">
        <v>37</v>
      </c>
      <c r="E58" t="s">
        <v>166</v>
      </c>
      <c r="F58">
        <v>419</v>
      </c>
      <c r="G58">
        <v>238.96</v>
      </c>
      <c r="H58">
        <v>50.06</v>
      </c>
      <c r="I58" t="s">
        <v>66</v>
      </c>
      <c r="J58" t="s">
        <v>121</v>
      </c>
      <c r="L58" s="1">
        <v>45782</v>
      </c>
      <c r="M58" s="9">
        <f>Table11[[#This Row],[quantity]]*Table11[[#This Row],[price]]</f>
        <v>100124.24</v>
      </c>
    </row>
    <row r="59" spans="1:13" x14ac:dyDescent="0.3">
      <c r="A59" t="s">
        <v>725</v>
      </c>
      <c r="B59" t="s">
        <v>198</v>
      </c>
      <c r="C59" s="1">
        <v>45695.004166666673</v>
      </c>
      <c r="D59" t="s">
        <v>27</v>
      </c>
      <c r="E59" t="s">
        <v>161</v>
      </c>
      <c r="F59">
        <v>428</v>
      </c>
      <c r="G59">
        <v>745.89</v>
      </c>
      <c r="H59">
        <v>159.62</v>
      </c>
      <c r="I59" t="s">
        <v>60</v>
      </c>
      <c r="J59" t="s">
        <v>142</v>
      </c>
      <c r="L59" s="1">
        <v>45832</v>
      </c>
      <c r="M59" s="9">
        <f>Table11[[#This Row],[quantity]]*Table11[[#This Row],[price]]</f>
        <v>319240.92</v>
      </c>
    </row>
    <row r="60" spans="1:13" x14ac:dyDescent="0.3">
      <c r="A60" t="s">
        <v>726</v>
      </c>
      <c r="B60" t="s">
        <v>270</v>
      </c>
      <c r="C60" s="1">
        <v>45776.013888888891</v>
      </c>
      <c r="D60" t="s">
        <v>27</v>
      </c>
      <c r="E60" t="s">
        <v>166</v>
      </c>
      <c r="F60">
        <v>803</v>
      </c>
      <c r="G60">
        <v>834.19</v>
      </c>
      <c r="H60">
        <v>334.93</v>
      </c>
      <c r="I60" t="s">
        <v>98</v>
      </c>
      <c r="J60" t="s">
        <v>133</v>
      </c>
      <c r="L60" s="1">
        <v>45803</v>
      </c>
      <c r="M60" s="9">
        <f>Table11[[#This Row],[quantity]]*Table11[[#This Row],[price]]</f>
        <v>669854.57000000007</v>
      </c>
    </row>
    <row r="61" spans="1:13" x14ac:dyDescent="0.3">
      <c r="A61" t="s">
        <v>727</v>
      </c>
      <c r="B61" t="s">
        <v>419</v>
      </c>
      <c r="C61" s="1">
        <v>45778.025000000001</v>
      </c>
      <c r="D61" t="s">
        <v>35</v>
      </c>
      <c r="E61" t="s">
        <v>161</v>
      </c>
      <c r="F61">
        <v>472</v>
      </c>
      <c r="G61">
        <v>667.16</v>
      </c>
      <c r="H61">
        <v>157.44999999999999</v>
      </c>
      <c r="I61" t="s">
        <v>92</v>
      </c>
      <c r="J61" t="s">
        <v>115</v>
      </c>
      <c r="L61" s="1">
        <v>45778</v>
      </c>
      <c r="M61" s="9">
        <f>Table11[[#This Row],[quantity]]*Table11[[#This Row],[price]]</f>
        <v>314899.51999999996</v>
      </c>
    </row>
    <row r="62" spans="1:13" x14ac:dyDescent="0.3">
      <c r="A62" t="s">
        <v>728</v>
      </c>
      <c r="B62" t="s">
        <v>216</v>
      </c>
      <c r="C62" s="1">
        <v>45818.027777777781</v>
      </c>
      <c r="D62" t="s">
        <v>35</v>
      </c>
      <c r="E62" t="s">
        <v>161</v>
      </c>
      <c r="F62">
        <v>312</v>
      </c>
      <c r="G62">
        <v>675.62</v>
      </c>
      <c r="H62">
        <v>105.4</v>
      </c>
      <c r="I62" t="s">
        <v>80</v>
      </c>
      <c r="J62" t="s">
        <v>133</v>
      </c>
      <c r="L62" s="1">
        <v>45797</v>
      </c>
      <c r="M62" s="9">
        <f>Table11[[#This Row],[quantity]]*Table11[[#This Row],[price]]</f>
        <v>210793.44</v>
      </c>
    </row>
    <row r="63" spans="1:13" x14ac:dyDescent="0.3">
      <c r="A63" t="s">
        <v>729</v>
      </c>
      <c r="B63" t="s">
        <v>494</v>
      </c>
      <c r="C63" s="1">
        <v>45736.01666666667</v>
      </c>
      <c r="D63" t="s">
        <v>43</v>
      </c>
      <c r="E63" t="s">
        <v>161</v>
      </c>
      <c r="F63">
        <v>808</v>
      </c>
      <c r="G63">
        <v>1238.5999999999999</v>
      </c>
      <c r="H63">
        <v>500.39</v>
      </c>
      <c r="I63" t="s">
        <v>102</v>
      </c>
      <c r="J63" t="s">
        <v>133</v>
      </c>
      <c r="L63" s="1">
        <v>45784</v>
      </c>
      <c r="M63" s="9">
        <f>Table11[[#This Row],[quantity]]*Table11[[#This Row],[price]]</f>
        <v>1000788.7999999999</v>
      </c>
    </row>
    <row r="64" spans="1:13" x14ac:dyDescent="0.3">
      <c r="A64" t="s">
        <v>730</v>
      </c>
      <c r="B64" t="s">
        <v>628</v>
      </c>
      <c r="C64" s="1">
        <v>45798.03125</v>
      </c>
      <c r="D64" t="s">
        <v>35</v>
      </c>
      <c r="E64" t="s">
        <v>161</v>
      </c>
      <c r="F64">
        <v>767</v>
      </c>
      <c r="G64">
        <v>658.14</v>
      </c>
      <c r="H64">
        <v>252.4</v>
      </c>
      <c r="I64" t="s">
        <v>70</v>
      </c>
      <c r="J64" t="s">
        <v>142</v>
      </c>
      <c r="L64" s="1">
        <v>45779</v>
      </c>
      <c r="M64" s="9">
        <f>Table11[[#This Row],[quantity]]*Table11[[#This Row],[price]]</f>
        <v>504793.38</v>
      </c>
    </row>
    <row r="65" spans="1:13" x14ac:dyDescent="0.3">
      <c r="A65" t="s">
        <v>731</v>
      </c>
      <c r="B65" t="s">
        <v>644</v>
      </c>
      <c r="C65" s="1">
        <v>45762.009027777778</v>
      </c>
      <c r="D65" t="s">
        <v>32</v>
      </c>
      <c r="E65" t="s">
        <v>166</v>
      </c>
      <c r="F65">
        <v>258</v>
      </c>
      <c r="G65">
        <v>2218.42</v>
      </c>
      <c r="H65">
        <v>286.18</v>
      </c>
      <c r="I65" t="s">
        <v>66</v>
      </c>
      <c r="J65" t="s">
        <v>142</v>
      </c>
      <c r="L65" s="1">
        <v>45715</v>
      </c>
      <c r="M65" s="9">
        <f>Table11[[#This Row],[quantity]]*Table11[[#This Row],[price]]</f>
        <v>572352.36</v>
      </c>
    </row>
    <row r="66" spans="1:13" x14ac:dyDescent="0.3">
      <c r="A66" t="s">
        <v>732</v>
      </c>
      <c r="B66" t="s">
        <v>339</v>
      </c>
      <c r="C66" s="1">
        <v>45660.020833333343</v>
      </c>
      <c r="D66" t="s">
        <v>27</v>
      </c>
      <c r="E66" t="s">
        <v>166</v>
      </c>
      <c r="F66">
        <v>512</v>
      </c>
      <c r="G66">
        <v>806.08</v>
      </c>
      <c r="H66">
        <v>206.36</v>
      </c>
      <c r="I66" t="s">
        <v>60</v>
      </c>
      <c r="J66" t="s">
        <v>133</v>
      </c>
      <c r="L66" s="1">
        <v>45790</v>
      </c>
      <c r="M66" s="9">
        <f>Table11[[#This Row],[quantity]]*Table11[[#This Row],[price]]</f>
        <v>412712.96000000002</v>
      </c>
    </row>
    <row r="67" spans="1:13" x14ac:dyDescent="0.3">
      <c r="A67" t="s">
        <v>733</v>
      </c>
      <c r="B67" t="s">
        <v>319</v>
      </c>
      <c r="C67" s="1">
        <v>45658.004166666673</v>
      </c>
      <c r="D67" t="s">
        <v>41</v>
      </c>
      <c r="E67" t="s">
        <v>166</v>
      </c>
      <c r="F67">
        <v>162</v>
      </c>
      <c r="G67">
        <v>453.22</v>
      </c>
      <c r="H67">
        <v>36.71</v>
      </c>
      <c r="I67" t="s">
        <v>104</v>
      </c>
      <c r="J67" t="s">
        <v>130</v>
      </c>
      <c r="L67" s="1">
        <v>45806</v>
      </c>
      <c r="M67" s="9">
        <f>Table11[[#This Row],[quantity]]*Table11[[#This Row],[price]]</f>
        <v>73421.64</v>
      </c>
    </row>
    <row r="68" spans="1:13" x14ac:dyDescent="0.3">
      <c r="A68" t="s">
        <v>734</v>
      </c>
      <c r="B68" t="s">
        <v>476</v>
      </c>
      <c r="C68" s="1">
        <v>45692.008333333331</v>
      </c>
      <c r="D68" t="s">
        <v>43</v>
      </c>
      <c r="E68" t="s">
        <v>161</v>
      </c>
      <c r="F68">
        <v>537</v>
      </c>
      <c r="G68">
        <v>1040.5899999999999</v>
      </c>
      <c r="H68">
        <v>279.39999999999998</v>
      </c>
      <c r="I68" t="s">
        <v>57</v>
      </c>
      <c r="J68" t="s">
        <v>127</v>
      </c>
      <c r="L68" s="1">
        <v>45670</v>
      </c>
      <c r="M68" s="9">
        <f>Table11[[#This Row],[quantity]]*Table11[[#This Row],[price]]</f>
        <v>558796.82999999996</v>
      </c>
    </row>
    <row r="69" spans="1:13" x14ac:dyDescent="0.3">
      <c r="A69" t="s">
        <v>735</v>
      </c>
      <c r="B69" t="s">
        <v>433</v>
      </c>
      <c r="C69" s="1">
        <v>45705.017361111109</v>
      </c>
      <c r="D69" t="s">
        <v>39</v>
      </c>
      <c r="E69" t="s">
        <v>166</v>
      </c>
      <c r="F69">
        <v>354</v>
      </c>
      <c r="G69">
        <v>231.98</v>
      </c>
      <c r="H69">
        <v>41.06</v>
      </c>
      <c r="I69" t="s">
        <v>96</v>
      </c>
      <c r="J69" t="s">
        <v>139</v>
      </c>
      <c r="L69" s="1">
        <v>45826</v>
      </c>
      <c r="M69" s="9">
        <f>Table11[[#This Row],[quantity]]*Table11[[#This Row],[price]]</f>
        <v>82120.92</v>
      </c>
    </row>
    <row r="70" spans="1:13" x14ac:dyDescent="0.3">
      <c r="A70" t="s">
        <v>736</v>
      </c>
      <c r="B70" t="s">
        <v>417</v>
      </c>
      <c r="C70" s="1">
        <v>45804.009027777778</v>
      </c>
      <c r="D70" t="s">
        <v>27</v>
      </c>
      <c r="E70" t="s">
        <v>161</v>
      </c>
      <c r="F70">
        <v>57</v>
      </c>
      <c r="G70">
        <v>777.78</v>
      </c>
      <c r="H70">
        <v>22.17</v>
      </c>
      <c r="I70" t="s">
        <v>90</v>
      </c>
      <c r="J70" t="s">
        <v>118</v>
      </c>
      <c r="L70" s="1">
        <v>45687</v>
      </c>
      <c r="M70" s="9">
        <f>Table11[[#This Row],[quantity]]*Table11[[#This Row],[price]]</f>
        <v>44333.46</v>
      </c>
    </row>
    <row r="71" spans="1:13" x14ac:dyDescent="0.3">
      <c r="A71" t="s">
        <v>737</v>
      </c>
      <c r="B71" t="s">
        <v>560</v>
      </c>
      <c r="C71" s="1">
        <v>45678.030555555553</v>
      </c>
      <c r="D71" t="s">
        <v>37</v>
      </c>
      <c r="E71" t="s">
        <v>161</v>
      </c>
      <c r="F71">
        <v>525</v>
      </c>
      <c r="G71">
        <v>236.56</v>
      </c>
      <c r="H71">
        <v>62.1</v>
      </c>
      <c r="I71" t="s">
        <v>90</v>
      </c>
      <c r="J71" t="s">
        <v>139</v>
      </c>
      <c r="L71" s="1">
        <v>45818</v>
      </c>
      <c r="M71" s="9">
        <f>Table11[[#This Row],[quantity]]*Table11[[#This Row],[price]]</f>
        <v>124194</v>
      </c>
    </row>
    <row r="72" spans="1:13" x14ac:dyDescent="0.3">
      <c r="A72" t="s">
        <v>738</v>
      </c>
      <c r="B72" t="s">
        <v>190</v>
      </c>
      <c r="C72" s="1">
        <v>45796.009722222218</v>
      </c>
      <c r="D72" t="s">
        <v>32</v>
      </c>
      <c r="E72" t="s">
        <v>161</v>
      </c>
      <c r="F72">
        <v>898</v>
      </c>
      <c r="G72">
        <v>2234.12</v>
      </c>
      <c r="H72">
        <v>1003.12</v>
      </c>
      <c r="I72" t="s">
        <v>96</v>
      </c>
      <c r="J72" t="s">
        <v>139</v>
      </c>
      <c r="L72" s="1">
        <v>45684</v>
      </c>
      <c r="M72" s="9">
        <f>Table11[[#This Row],[quantity]]*Table11[[#This Row],[price]]</f>
        <v>2006239.76</v>
      </c>
    </row>
    <row r="73" spans="1:13" x14ac:dyDescent="0.3">
      <c r="A73" t="s">
        <v>739</v>
      </c>
      <c r="B73" t="s">
        <v>564</v>
      </c>
      <c r="C73" s="1">
        <v>45810.038888888892</v>
      </c>
      <c r="D73" t="s">
        <v>32</v>
      </c>
      <c r="E73" t="s">
        <v>166</v>
      </c>
      <c r="F73">
        <v>339</v>
      </c>
      <c r="G73">
        <v>2256.92</v>
      </c>
      <c r="H73">
        <v>382.55</v>
      </c>
      <c r="I73" t="s">
        <v>70</v>
      </c>
      <c r="J73" t="s">
        <v>130</v>
      </c>
      <c r="L73" s="1">
        <v>45707</v>
      </c>
      <c r="M73" s="9">
        <f>Table11[[#This Row],[quantity]]*Table11[[#This Row],[price]]</f>
        <v>765095.88</v>
      </c>
    </row>
    <row r="74" spans="1:13" x14ac:dyDescent="0.3">
      <c r="A74" t="s">
        <v>740</v>
      </c>
      <c r="B74" t="s">
        <v>515</v>
      </c>
      <c r="C74" s="1">
        <v>45670.011805555558</v>
      </c>
      <c r="D74" t="s">
        <v>39</v>
      </c>
      <c r="E74" t="s">
        <v>166</v>
      </c>
      <c r="F74">
        <v>999</v>
      </c>
      <c r="G74">
        <v>240.8</v>
      </c>
      <c r="H74">
        <v>120.28</v>
      </c>
      <c r="I74" t="s">
        <v>92</v>
      </c>
      <c r="J74" t="s">
        <v>139</v>
      </c>
      <c r="L74" s="1">
        <v>45761</v>
      </c>
      <c r="M74" s="9">
        <f>Table11[[#This Row],[quantity]]*Table11[[#This Row],[price]]</f>
        <v>240559.2</v>
      </c>
    </row>
    <row r="75" spans="1:13" x14ac:dyDescent="0.3">
      <c r="A75" t="s">
        <v>741</v>
      </c>
      <c r="B75" t="s">
        <v>478</v>
      </c>
      <c r="C75" s="1">
        <v>45708.01666666667</v>
      </c>
      <c r="D75" t="s">
        <v>32</v>
      </c>
      <c r="E75" t="s">
        <v>166</v>
      </c>
      <c r="F75">
        <v>83</v>
      </c>
      <c r="G75">
        <v>2148.98</v>
      </c>
      <c r="H75">
        <v>89.18</v>
      </c>
      <c r="I75" t="s">
        <v>72</v>
      </c>
      <c r="J75" t="s">
        <v>139</v>
      </c>
      <c r="L75" s="1">
        <v>45782</v>
      </c>
      <c r="M75" s="9">
        <f>Table11[[#This Row],[quantity]]*Table11[[#This Row],[price]]</f>
        <v>178365.34</v>
      </c>
    </row>
    <row r="76" spans="1:13" x14ac:dyDescent="0.3">
      <c r="A76" t="s">
        <v>742</v>
      </c>
      <c r="B76" t="s">
        <v>436</v>
      </c>
      <c r="C76" s="1">
        <v>45713.034722222219</v>
      </c>
      <c r="D76" t="s">
        <v>39</v>
      </c>
      <c r="E76" t="s">
        <v>161</v>
      </c>
      <c r="F76">
        <v>841</v>
      </c>
      <c r="G76">
        <v>233.99</v>
      </c>
      <c r="H76">
        <v>98.39</v>
      </c>
      <c r="I76" t="s">
        <v>108</v>
      </c>
      <c r="J76" t="s">
        <v>124</v>
      </c>
      <c r="L76" s="1">
        <v>45765</v>
      </c>
      <c r="M76" s="9">
        <f>Table11[[#This Row],[quantity]]*Table11[[#This Row],[price]]</f>
        <v>196785.59</v>
      </c>
    </row>
    <row r="77" spans="1:13" x14ac:dyDescent="0.3">
      <c r="A77" t="s">
        <v>743</v>
      </c>
      <c r="B77" t="s">
        <v>217</v>
      </c>
      <c r="C77" s="1">
        <v>45700.025694444441</v>
      </c>
      <c r="D77" t="s">
        <v>41</v>
      </c>
      <c r="E77" t="s">
        <v>161</v>
      </c>
      <c r="F77">
        <v>443</v>
      </c>
      <c r="G77">
        <v>541.88</v>
      </c>
      <c r="H77">
        <v>120.03</v>
      </c>
      <c r="I77" t="s">
        <v>76</v>
      </c>
      <c r="J77" t="s">
        <v>136</v>
      </c>
      <c r="L77" s="1">
        <v>45667</v>
      </c>
      <c r="M77" s="9">
        <f>Table11[[#This Row],[quantity]]*Table11[[#This Row],[price]]</f>
        <v>240052.84</v>
      </c>
    </row>
    <row r="78" spans="1:13" x14ac:dyDescent="0.3">
      <c r="A78" t="s">
        <v>744</v>
      </c>
      <c r="B78" t="s">
        <v>171</v>
      </c>
      <c r="C78" s="1">
        <v>45827.031944444447</v>
      </c>
      <c r="D78" t="s">
        <v>41</v>
      </c>
      <c r="E78" t="s">
        <v>166</v>
      </c>
      <c r="F78">
        <v>880</v>
      </c>
      <c r="G78">
        <v>602.63</v>
      </c>
      <c r="H78">
        <v>265.16000000000003</v>
      </c>
      <c r="I78" t="s">
        <v>60</v>
      </c>
      <c r="J78" t="s">
        <v>115</v>
      </c>
      <c r="L78" s="1">
        <v>45817</v>
      </c>
      <c r="M78" s="9">
        <f>Table11[[#This Row],[quantity]]*Table11[[#This Row],[price]]</f>
        <v>530314.4</v>
      </c>
    </row>
    <row r="79" spans="1:13" x14ac:dyDescent="0.3">
      <c r="A79" t="s">
        <v>745</v>
      </c>
      <c r="B79" t="s">
        <v>590</v>
      </c>
      <c r="C79" s="1">
        <v>45754.037499999999</v>
      </c>
      <c r="D79" t="s">
        <v>27</v>
      </c>
      <c r="E79" t="s">
        <v>161</v>
      </c>
      <c r="F79">
        <v>988</v>
      </c>
      <c r="G79">
        <v>814.07</v>
      </c>
      <c r="H79">
        <v>402.15</v>
      </c>
      <c r="I79" t="s">
        <v>66</v>
      </c>
      <c r="J79" t="s">
        <v>130</v>
      </c>
      <c r="L79" s="1">
        <v>45729</v>
      </c>
      <c r="M79" s="9">
        <f>Table11[[#This Row],[quantity]]*Table11[[#This Row],[price]]</f>
        <v>804301.16</v>
      </c>
    </row>
    <row r="80" spans="1:13" x14ac:dyDescent="0.3">
      <c r="A80" t="s">
        <v>746</v>
      </c>
      <c r="B80" t="s">
        <v>543</v>
      </c>
      <c r="C80" s="1">
        <v>45835.038888888892</v>
      </c>
      <c r="D80" t="s">
        <v>27</v>
      </c>
      <c r="E80" t="s">
        <v>166</v>
      </c>
      <c r="F80">
        <v>225</v>
      </c>
      <c r="G80">
        <v>783.17</v>
      </c>
      <c r="H80">
        <v>88.11</v>
      </c>
      <c r="I80" t="s">
        <v>64</v>
      </c>
      <c r="J80" t="s">
        <v>118</v>
      </c>
      <c r="L80" s="1">
        <v>45793</v>
      </c>
      <c r="M80" s="9">
        <f>Table11[[#This Row],[quantity]]*Table11[[#This Row],[price]]</f>
        <v>176213.25</v>
      </c>
    </row>
    <row r="81" spans="1:13" x14ac:dyDescent="0.3">
      <c r="A81" t="s">
        <v>747</v>
      </c>
      <c r="B81" t="s">
        <v>370</v>
      </c>
      <c r="C81" s="1">
        <v>45666.007638888892</v>
      </c>
      <c r="D81" t="s">
        <v>37</v>
      </c>
      <c r="E81" t="s">
        <v>166</v>
      </c>
      <c r="F81">
        <v>551</v>
      </c>
      <c r="G81">
        <v>226.98</v>
      </c>
      <c r="H81">
        <v>62.53</v>
      </c>
      <c r="I81" t="s">
        <v>48</v>
      </c>
      <c r="J81" t="s">
        <v>115</v>
      </c>
      <c r="L81" s="1">
        <v>45796</v>
      </c>
      <c r="M81" s="9">
        <f>Table11[[#This Row],[quantity]]*Table11[[#This Row],[price]]</f>
        <v>125065.98</v>
      </c>
    </row>
    <row r="82" spans="1:13" x14ac:dyDescent="0.3">
      <c r="A82" t="s">
        <v>748</v>
      </c>
      <c r="B82" t="s">
        <v>372</v>
      </c>
      <c r="C82" s="1">
        <v>45769.040277777778</v>
      </c>
      <c r="D82" t="s">
        <v>39</v>
      </c>
      <c r="E82" t="s">
        <v>166</v>
      </c>
      <c r="F82">
        <v>509</v>
      </c>
      <c r="G82">
        <v>246.09</v>
      </c>
      <c r="H82">
        <v>62.63</v>
      </c>
      <c r="I82" t="s">
        <v>51</v>
      </c>
      <c r="J82" t="s">
        <v>139</v>
      </c>
      <c r="L82" s="1">
        <v>45671</v>
      </c>
      <c r="M82" s="9">
        <f>Table11[[#This Row],[quantity]]*Table11[[#This Row],[price]]</f>
        <v>125259.81</v>
      </c>
    </row>
    <row r="83" spans="1:13" x14ac:dyDescent="0.3">
      <c r="A83" t="s">
        <v>749</v>
      </c>
      <c r="B83" t="s">
        <v>561</v>
      </c>
      <c r="C83" s="1">
        <v>45698.040972222218</v>
      </c>
      <c r="D83" t="s">
        <v>39</v>
      </c>
      <c r="E83" t="s">
        <v>161</v>
      </c>
      <c r="F83">
        <v>135</v>
      </c>
      <c r="G83">
        <v>234.73</v>
      </c>
      <c r="H83">
        <v>15.84</v>
      </c>
      <c r="I83" t="s">
        <v>92</v>
      </c>
      <c r="J83" t="s">
        <v>121</v>
      </c>
      <c r="L83" s="1">
        <v>45659</v>
      </c>
      <c r="M83" s="9">
        <f>Table11[[#This Row],[quantity]]*Table11[[#This Row],[price]]</f>
        <v>31688.55</v>
      </c>
    </row>
    <row r="84" spans="1:13" x14ac:dyDescent="0.3">
      <c r="A84" t="s">
        <v>750</v>
      </c>
      <c r="B84" t="s">
        <v>572</v>
      </c>
      <c r="C84" s="1">
        <v>45833.031944444447</v>
      </c>
      <c r="D84" t="s">
        <v>35</v>
      </c>
      <c r="E84" t="s">
        <v>166</v>
      </c>
      <c r="F84">
        <v>491</v>
      </c>
      <c r="G84">
        <v>673.55</v>
      </c>
      <c r="H84">
        <v>165.36</v>
      </c>
      <c r="I84" t="s">
        <v>104</v>
      </c>
      <c r="J84" t="s">
        <v>121</v>
      </c>
      <c r="L84" s="1">
        <v>45736</v>
      </c>
      <c r="M84" s="9">
        <f>Table11[[#This Row],[quantity]]*Table11[[#This Row],[price]]</f>
        <v>330713.05</v>
      </c>
    </row>
    <row r="85" spans="1:13" x14ac:dyDescent="0.3">
      <c r="A85" t="s">
        <v>751</v>
      </c>
      <c r="B85" t="s">
        <v>598</v>
      </c>
      <c r="C85" s="1">
        <v>45813.040972222218</v>
      </c>
      <c r="D85" t="s">
        <v>27</v>
      </c>
      <c r="E85" t="s">
        <v>161</v>
      </c>
      <c r="F85">
        <v>745</v>
      </c>
      <c r="G85">
        <v>761.02</v>
      </c>
      <c r="H85">
        <v>283.48</v>
      </c>
      <c r="I85" t="s">
        <v>68</v>
      </c>
      <c r="J85" t="s">
        <v>124</v>
      </c>
      <c r="L85" s="1">
        <v>45791</v>
      </c>
      <c r="M85" s="9">
        <f>Table11[[#This Row],[quantity]]*Table11[[#This Row],[price]]</f>
        <v>566959.9</v>
      </c>
    </row>
    <row r="86" spans="1:13" x14ac:dyDescent="0.3">
      <c r="A86" t="s">
        <v>752</v>
      </c>
      <c r="B86" t="s">
        <v>619</v>
      </c>
      <c r="C86" s="1">
        <v>45735.040972222218</v>
      </c>
      <c r="D86" t="s">
        <v>29</v>
      </c>
      <c r="E86" t="s">
        <v>161</v>
      </c>
      <c r="F86">
        <v>717</v>
      </c>
      <c r="G86">
        <v>1310.5</v>
      </c>
      <c r="H86">
        <v>469.81</v>
      </c>
      <c r="I86" t="s">
        <v>82</v>
      </c>
      <c r="J86" t="s">
        <v>139</v>
      </c>
      <c r="L86" s="1">
        <v>45744</v>
      </c>
      <c r="M86" s="9">
        <f>Table11[[#This Row],[quantity]]*Table11[[#This Row],[price]]</f>
        <v>939628.5</v>
      </c>
    </row>
    <row r="87" spans="1:13" x14ac:dyDescent="0.3">
      <c r="A87" t="s">
        <v>753</v>
      </c>
      <c r="B87" t="s">
        <v>489</v>
      </c>
      <c r="C87" s="1">
        <v>45778.037499999999</v>
      </c>
      <c r="D87" t="s">
        <v>35</v>
      </c>
      <c r="E87" t="s">
        <v>166</v>
      </c>
      <c r="F87">
        <v>562</v>
      </c>
      <c r="G87">
        <v>667.06</v>
      </c>
      <c r="H87">
        <v>187.44</v>
      </c>
      <c r="I87" t="s">
        <v>90</v>
      </c>
      <c r="J87" t="s">
        <v>139</v>
      </c>
      <c r="L87" s="1">
        <v>45763</v>
      </c>
      <c r="M87" s="9">
        <f>Table11[[#This Row],[quantity]]*Table11[[#This Row],[price]]</f>
        <v>374887.72</v>
      </c>
    </row>
    <row r="88" spans="1:13" x14ac:dyDescent="0.3">
      <c r="A88" t="s">
        <v>754</v>
      </c>
      <c r="B88" t="s">
        <v>375</v>
      </c>
      <c r="C88" s="1">
        <v>45834.025000000001</v>
      </c>
      <c r="D88" t="s">
        <v>41</v>
      </c>
      <c r="E88" t="s">
        <v>166</v>
      </c>
      <c r="F88">
        <v>218</v>
      </c>
      <c r="G88">
        <v>588.46</v>
      </c>
      <c r="H88">
        <v>64.14</v>
      </c>
      <c r="I88" t="s">
        <v>48</v>
      </c>
      <c r="J88" t="s">
        <v>121</v>
      </c>
      <c r="L88" s="1">
        <v>45659</v>
      </c>
      <c r="M88" s="9">
        <f>Table11[[#This Row],[quantity]]*Table11[[#This Row],[price]]</f>
        <v>128284.28000000001</v>
      </c>
    </row>
    <row r="89" spans="1:13" x14ac:dyDescent="0.3">
      <c r="A89" t="s">
        <v>755</v>
      </c>
      <c r="B89" t="s">
        <v>355</v>
      </c>
      <c r="C89" s="1">
        <v>45813.00277777778</v>
      </c>
      <c r="D89" t="s">
        <v>37</v>
      </c>
      <c r="E89" t="s">
        <v>166</v>
      </c>
      <c r="F89">
        <v>262</v>
      </c>
      <c r="G89">
        <v>254.1</v>
      </c>
      <c r="H89">
        <v>33.29</v>
      </c>
      <c r="I89" t="s">
        <v>96</v>
      </c>
      <c r="J89" t="s">
        <v>121</v>
      </c>
      <c r="L89" s="1">
        <v>45684</v>
      </c>
      <c r="M89" s="9">
        <f>Table11[[#This Row],[quantity]]*Table11[[#This Row],[price]]</f>
        <v>66574.2</v>
      </c>
    </row>
    <row r="90" spans="1:13" x14ac:dyDescent="0.3">
      <c r="A90" t="s">
        <v>756</v>
      </c>
      <c r="B90" t="s">
        <v>609</v>
      </c>
      <c r="C90" s="1">
        <v>45727.006249999999</v>
      </c>
      <c r="D90" t="s">
        <v>39</v>
      </c>
      <c r="E90" t="s">
        <v>166</v>
      </c>
      <c r="F90">
        <v>511</v>
      </c>
      <c r="G90">
        <v>237.47</v>
      </c>
      <c r="H90">
        <v>60.67</v>
      </c>
      <c r="I90" t="s">
        <v>104</v>
      </c>
      <c r="J90" t="s">
        <v>130</v>
      </c>
      <c r="L90" s="1">
        <v>45761</v>
      </c>
      <c r="M90" s="9">
        <f>Table11[[#This Row],[quantity]]*Table11[[#This Row],[price]]</f>
        <v>121347.17</v>
      </c>
    </row>
    <row r="91" spans="1:13" x14ac:dyDescent="0.3">
      <c r="A91" t="s">
        <v>757</v>
      </c>
      <c r="B91" t="s">
        <v>369</v>
      </c>
      <c r="C91" s="1">
        <v>45791.001388888893</v>
      </c>
      <c r="D91" t="s">
        <v>43</v>
      </c>
      <c r="E91" t="s">
        <v>161</v>
      </c>
      <c r="F91">
        <v>710</v>
      </c>
      <c r="G91">
        <v>1351.68</v>
      </c>
      <c r="H91">
        <v>479.85</v>
      </c>
      <c r="I91" t="s">
        <v>108</v>
      </c>
      <c r="J91" t="s">
        <v>127</v>
      </c>
      <c r="L91" s="1">
        <v>45663</v>
      </c>
      <c r="M91" s="9">
        <f>Table11[[#This Row],[quantity]]*Table11[[#This Row],[price]]</f>
        <v>959692.80000000005</v>
      </c>
    </row>
    <row r="92" spans="1:13" x14ac:dyDescent="0.3">
      <c r="A92" t="s">
        <v>758</v>
      </c>
      <c r="B92" t="s">
        <v>605</v>
      </c>
      <c r="C92" s="1">
        <v>45768.006249999999</v>
      </c>
      <c r="D92" t="s">
        <v>32</v>
      </c>
      <c r="E92" t="s">
        <v>161</v>
      </c>
      <c r="F92">
        <v>245</v>
      </c>
      <c r="G92">
        <v>2150.21</v>
      </c>
      <c r="H92">
        <v>263.39999999999998</v>
      </c>
      <c r="I92" t="s">
        <v>48</v>
      </c>
      <c r="J92" t="s">
        <v>130</v>
      </c>
      <c r="L92" s="1">
        <v>45777</v>
      </c>
      <c r="M92" s="9">
        <f>Table11[[#This Row],[quantity]]*Table11[[#This Row],[price]]</f>
        <v>526801.44999999995</v>
      </c>
    </row>
    <row r="93" spans="1:13" x14ac:dyDescent="0.3">
      <c r="A93" t="s">
        <v>759</v>
      </c>
      <c r="B93" t="s">
        <v>620</v>
      </c>
      <c r="C93" s="1">
        <v>45784.010416666657</v>
      </c>
      <c r="D93" t="s">
        <v>35</v>
      </c>
      <c r="E93" t="s">
        <v>166</v>
      </c>
      <c r="F93">
        <v>319</v>
      </c>
      <c r="G93">
        <v>664.41</v>
      </c>
      <c r="H93">
        <v>105.97</v>
      </c>
      <c r="I93" t="s">
        <v>106</v>
      </c>
      <c r="J93" t="s">
        <v>136</v>
      </c>
      <c r="L93" s="1">
        <v>45665</v>
      </c>
      <c r="M93" s="9">
        <f>Table11[[#This Row],[quantity]]*Table11[[#This Row],[price]]</f>
        <v>211946.78999999998</v>
      </c>
    </row>
    <row r="94" spans="1:13" x14ac:dyDescent="0.3">
      <c r="A94" t="s">
        <v>760</v>
      </c>
      <c r="B94" t="s">
        <v>198</v>
      </c>
      <c r="C94" s="1">
        <v>45775.025000000001</v>
      </c>
      <c r="D94" t="s">
        <v>32</v>
      </c>
      <c r="E94" t="s">
        <v>161</v>
      </c>
      <c r="F94">
        <v>606</v>
      </c>
      <c r="G94">
        <v>2103.54</v>
      </c>
      <c r="H94">
        <v>637.37</v>
      </c>
      <c r="I94" t="s">
        <v>92</v>
      </c>
      <c r="J94" t="s">
        <v>142</v>
      </c>
      <c r="L94" s="1">
        <v>45769</v>
      </c>
      <c r="M94" s="9">
        <f>Table11[[#This Row],[quantity]]*Table11[[#This Row],[price]]</f>
        <v>1274745.24</v>
      </c>
    </row>
    <row r="95" spans="1:13" x14ac:dyDescent="0.3">
      <c r="A95" t="s">
        <v>761</v>
      </c>
      <c r="B95" t="s">
        <v>418</v>
      </c>
      <c r="C95" s="1">
        <v>45776.002083333333</v>
      </c>
      <c r="D95" t="s">
        <v>35</v>
      </c>
      <c r="E95" t="s">
        <v>161</v>
      </c>
      <c r="F95">
        <v>944</v>
      </c>
      <c r="G95">
        <v>667.56</v>
      </c>
      <c r="H95">
        <v>315.08999999999997</v>
      </c>
      <c r="I95" t="s">
        <v>98</v>
      </c>
      <c r="J95" t="s">
        <v>130</v>
      </c>
      <c r="L95" s="1">
        <v>45667</v>
      </c>
      <c r="M95" s="9">
        <f>Table11[[#This Row],[quantity]]*Table11[[#This Row],[price]]</f>
        <v>630176.6399999999</v>
      </c>
    </row>
    <row r="96" spans="1:13" x14ac:dyDescent="0.3">
      <c r="A96" t="s">
        <v>762</v>
      </c>
      <c r="B96" t="s">
        <v>238</v>
      </c>
      <c r="C96" s="1">
        <v>45754.038194444453</v>
      </c>
      <c r="D96" t="s">
        <v>43</v>
      </c>
      <c r="E96" t="s">
        <v>161</v>
      </c>
      <c r="F96">
        <v>669</v>
      </c>
      <c r="G96">
        <v>1221.3</v>
      </c>
      <c r="H96">
        <v>408.52</v>
      </c>
      <c r="I96" t="s">
        <v>54</v>
      </c>
      <c r="J96" t="s">
        <v>124</v>
      </c>
      <c r="L96" s="1">
        <v>45813</v>
      </c>
      <c r="M96" s="9">
        <f>Table11[[#This Row],[quantity]]*Table11[[#This Row],[price]]</f>
        <v>817049.7</v>
      </c>
    </row>
    <row r="97" spans="1:13" x14ac:dyDescent="0.3">
      <c r="A97" t="s">
        <v>763</v>
      </c>
      <c r="B97" t="s">
        <v>652</v>
      </c>
      <c r="C97" s="1">
        <v>45687.023611111108</v>
      </c>
      <c r="D97" t="s">
        <v>37</v>
      </c>
      <c r="E97" t="s">
        <v>161</v>
      </c>
      <c r="F97">
        <v>683</v>
      </c>
      <c r="G97">
        <v>233.99</v>
      </c>
      <c r="H97">
        <v>79.91</v>
      </c>
      <c r="I97" t="s">
        <v>86</v>
      </c>
      <c r="J97" t="s">
        <v>127</v>
      </c>
      <c r="L97" s="1">
        <v>45691</v>
      </c>
      <c r="M97" s="9">
        <f>Table11[[#This Row],[quantity]]*Table11[[#This Row],[price]]</f>
        <v>159815.17000000001</v>
      </c>
    </row>
    <row r="98" spans="1:13" x14ac:dyDescent="0.3">
      <c r="A98" t="s">
        <v>764</v>
      </c>
      <c r="B98" t="s">
        <v>521</v>
      </c>
      <c r="C98" s="1">
        <v>45756.017361111109</v>
      </c>
      <c r="D98" t="s">
        <v>43</v>
      </c>
      <c r="E98" t="s">
        <v>161</v>
      </c>
      <c r="F98">
        <v>970</v>
      </c>
      <c r="G98">
        <v>1250.93</v>
      </c>
      <c r="H98">
        <v>606.70000000000005</v>
      </c>
      <c r="I98" t="s">
        <v>62</v>
      </c>
      <c r="J98" t="s">
        <v>124</v>
      </c>
      <c r="L98" s="1">
        <v>45838</v>
      </c>
      <c r="M98" s="9">
        <f>Table11[[#This Row],[quantity]]*Table11[[#This Row],[price]]</f>
        <v>1213402.1000000001</v>
      </c>
    </row>
    <row r="99" spans="1:13" x14ac:dyDescent="0.3">
      <c r="A99" t="s">
        <v>765</v>
      </c>
      <c r="B99" t="s">
        <v>573</v>
      </c>
      <c r="C99" s="1">
        <v>45701.011805555558</v>
      </c>
      <c r="D99" t="s">
        <v>39</v>
      </c>
      <c r="E99" t="s">
        <v>166</v>
      </c>
      <c r="F99">
        <v>170</v>
      </c>
      <c r="G99">
        <v>230.88</v>
      </c>
      <c r="H99">
        <v>19.62</v>
      </c>
      <c r="I99" t="s">
        <v>92</v>
      </c>
      <c r="J99" t="s">
        <v>127</v>
      </c>
      <c r="L99" s="1">
        <v>45692</v>
      </c>
      <c r="M99" s="9">
        <f>Table11[[#This Row],[quantity]]*Table11[[#This Row],[price]]</f>
        <v>39249.599999999999</v>
      </c>
    </row>
    <row r="100" spans="1:13" x14ac:dyDescent="0.3">
      <c r="A100" t="s">
        <v>766</v>
      </c>
      <c r="B100" t="s">
        <v>567</v>
      </c>
      <c r="C100" s="1">
        <v>45705.005555555559</v>
      </c>
      <c r="D100" t="s">
        <v>39</v>
      </c>
      <c r="E100" t="s">
        <v>161</v>
      </c>
      <c r="F100">
        <v>608</v>
      </c>
      <c r="G100">
        <v>232.69</v>
      </c>
      <c r="H100">
        <v>70.739999999999995</v>
      </c>
      <c r="I100" t="s">
        <v>108</v>
      </c>
      <c r="J100" t="s">
        <v>142</v>
      </c>
      <c r="L100" s="1">
        <v>45798</v>
      </c>
      <c r="M100" s="9">
        <f>Table11[[#This Row],[quantity]]*Table11[[#This Row],[price]]</f>
        <v>141475.51999999999</v>
      </c>
    </row>
    <row r="101" spans="1:13" x14ac:dyDescent="0.3">
      <c r="A101" t="s">
        <v>767</v>
      </c>
      <c r="B101" t="s">
        <v>548</v>
      </c>
      <c r="C101" s="1">
        <v>45712.036805555559</v>
      </c>
      <c r="D101" t="s">
        <v>39</v>
      </c>
      <c r="E101" t="s">
        <v>166</v>
      </c>
      <c r="F101">
        <v>198</v>
      </c>
      <c r="G101">
        <v>237.07</v>
      </c>
      <c r="H101">
        <v>23.47</v>
      </c>
      <c r="I101" t="s">
        <v>82</v>
      </c>
      <c r="J101" t="s">
        <v>136</v>
      </c>
      <c r="L101" s="1">
        <v>45693</v>
      </c>
      <c r="M101" s="9">
        <f>Table11[[#This Row],[quantity]]*Table11[[#This Row],[price]]</f>
        <v>46939.86</v>
      </c>
    </row>
    <row r="102" spans="1:13" x14ac:dyDescent="0.3">
      <c r="A102" t="s">
        <v>768</v>
      </c>
      <c r="B102" t="s">
        <v>298</v>
      </c>
      <c r="C102" s="1">
        <v>45737.035416666673</v>
      </c>
      <c r="D102" t="s">
        <v>41</v>
      </c>
      <c r="E102" t="s">
        <v>166</v>
      </c>
      <c r="F102">
        <v>717</v>
      </c>
      <c r="G102">
        <v>584.75</v>
      </c>
      <c r="H102">
        <v>209.63</v>
      </c>
      <c r="I102" t="s">
        <v>80</v>
      </c>
      <c r="J102" t="s">
        <v>127</v>
      </c>
      <c r="L102" s="1">
        <v>45834</v>
      </c>
      <c r="M102" s="9">
        <f>Table11[[#This Row],[quantity]]*Table11[[#This Row],[price]]</f>
        <v>419265.75</v>
      </c>
    </row>
    <row r="103" spans="1:13" x14ac:dyDescent="0.3">
      <c r="A103" t="s">
        <v>769</v>
      </c>
      <c r="B103" t="s">
        <v>181</v>
      </c>
      <c r="C103" s="1">
        <v>45729.000694444447</v>
      </c>
      <c r="D103" t="s">
        <v>32</v>
      </c>
      <c r="E103" t="s">
        <v>166</v>
      </c>
      <c r="F103">
        <v>891</v>
      </c>
      <c r="G103">
        <v>2172.1799999999998</v>
      </c>
      <c r="H103">
        <v>967.71</v>
      </c>
      <c r="I103" t="s">
        <v>96</v>
      </c>
      <c r="J103" t="s">
        <v>124</v>
      </c>
      <c r="L103" s="1">
        <v>45797</v>
      </c>
      <c r="M103" s="9">
        <f>Table11[[#This Row],[quantity]]*Table11[[#This Row],[price]]</f>
        <v>1935412.38</v>
      </c>
    </row>
    <row r="104" spans="1:13" x14ac:dyDescent="0.3">
      <c r="A104" t="s">
        <v>770</v>
      </c>
      <c r="B104" t="s">
        <v>465</v>
      </c>
      <c r="C104" s="1">
        <v>45763.027083333327</v>
      </c>
      <c r="D104" t="s">
        <v>35</v>
      </c>
      <c r="E104" t="s">
        <v>166</v>
      </c>
      <c r="F104">
        <v>307</v>
      </c>
      <c r="G104">
        <v>639.54</v>
      </c>
      <c r="H104">
        <v>98.17</v>
      </c>
      <c r="I104" t="s">
        <v>64</v>
      </c>
      <c r="J104" t="s">
        <v>115</v>
      </c>
      <c r="L104" s="1">
        <v>45771</v>
      </c>
      <c r="M104" s="9">
        <f>Table11[[#This Row],[quantity]]*Table11[[#This Row],[price]]</f>
        <v>196338.78</v>
      </c>
    </row>
    <row r="105" spans="1:13" x14ac:dyDescent="0.3">
      <c r="A105" t="s">
        <v>771</v>
      </c>
      <c r="B105" t="s">
        <v>635</v>
      </c>
      <c r="C105" s="1">
        <v>45691.012499999997</v>
      </c>
      <c r="D105" t="s">
        <v>41</v>
      </c>
      <c r="E105" t="s">
        <v>161</v>
      </c>
      <c r="F105">
        <v>393</v>
      </c>
      <c r="G105">
        <v>508.59</v>
      </c>
      <c r="H105">
        <v>99.94</v>
      </c>
      <c r="I105" t="s">
        <v>98</v>
      </c>
      <c r="J105" t="s">
        <v>139</v>
      </c>
      <c r="L105" s="1">
        <v>45705</v>
      </c>
      <c r="M105" s="9">
        <f>Table11[[#This Row],[quantity]]*Table11[[#This Row],[price]]</f>
        <v>199875.87</v>
      </c>
    </row>
    <row r="106" spans="1:13" x14ac:dyDescent="0.3">
      <c r="A106" t="s">
        <v>772</v>
      </c>
      <c r="B106" t="s">
        <v>177</v>
      </c>
      <c r="C106" s="1">
        <v>45699.027777777781</v>
      </c>
      <c r="D106" t="s">
        <v>37</v>
      </c>
      <c r="E106" t="s">
        <v>161</v>
      </c>
      <c r="F106">
        <v>998</v>
      </c>
      <c r="G106">
        <v>229.44</v>
      </c>
      <c r="H106">
        <v>114.49</v>
      </c>
      <c r="I106" t="s">
        <v>48</v>
      </c>
      <c r="J106" t="s">
        <v>121</v>
      </c>
      <c r="L106" s="1">
        <v>45833</v>
      </c>
      <c r="M106" s="9">
        <f>Table11[[#This Row],[quantity]]*Table11[[#This Row],[price]]</f>
        <v>228981.12</v>
      </c>
    </row>
    <row r="107" spans="1:13" x14ac:dyDescent="0.3">
      <c r="A107" t="s">
        <v>773</v>
      </c>
      <c r="B107" t="s">
        <v>561</v>
      </c>
      <c r="C107" s="1">
        <v>45709.02847222222</v>
      </c>
      <c r="D107" t="s">
        <v>35</v>
      </c>
      <c r="E107" t="s">
        <v>166</v>
      </c>
      <c r="F107">
        <v>407</v>
      </c>
      <c r="G107">
        <v>626.77</v>
      </c>
      <c r="H107">
        <v>127.55</v>
      </c>
      <c r="I107" t="s">
        <v>108</v>
      </c>
      <c r="J107" t="s">
        <v>142</v>
      </c>
      <c r="L107" s="1">
        <v>45672</v>
      </c>
      <c r="M107" s="9">
        <f>Table11[[#This Row],[quantity]]*Table11[[#This Row],[price]]</f>
        <v>255095.38999999998</v>
      </c>
    </row>
    <row r="108" spans="1:13" x14ac:dyDescent="0.3">
      <c r="A108" t="s">
        <v>774</v>
      </c>
      <c r="B108" t="s">
        <v>431</v>
      </c>
      <c r="C108" s="1">
        <v>45736.01458333333</v>
      </c>
      <c r="D108" t="s">
        <v>29</v>
      </c>
      <c r="E108" t="s">
        <v>166</v>
      </c>
      <c r="F108">
        <v>949</v>
      </c>
      <c r="G108">
        <v>1302.05</v>
      </c>
      <c r="H108">
        <v>617.82000000000005</v>
      </c>
      <c r="I108" t="s">
        <v>48</v>
      </c>
      <c r="J108" t="s">
        <v>121</v>
      </c>
      <c r="L108" s="1">
        <v>45728</v>
      </c>
      <c r="M108" s="9">
        <f>Table11[[#This Row],[quantity]]*Table11[[#This Row],[price]]</f>
        <v>1235645.45</v>
      </c>
    </row>
    <row r="109" spans="1:13" x14ac:dyDescent="0.3">
      <c r="A109" t="s">
        <v>775</v>
      </c>
      <c r="B109" t="s">
        <v>480</v>
      </c>
      <c r="C109" s="1">
        <v>45748.017361111109</v>
      </c>
      <c r="D109" t="s">
        <v>27</v>
      </c>
      <c r="E109" t="s">
        <v>161</v>
      </c>
      <c r="F109">
        <v>621</v>
      </c>
      <c r="G109">
        <v>792.1</v>
      </c>
      <c r="H109">
        <v>245.95</v>
      </c>
      <c r="I109" t="s">
        <v>70</v>
      </c>
      <c r="J109" t="s">
        <v>139</v>
      </c>
      <c r="L109" s="1">
        <v>45819</v>
      </c>
      <c r="M109" s="9">
        <f>Table11[[#This Row],[quantity]]*Table11[[#This Row],[price]]</f>
        <v>491894.10000000003</v>
      </c>
    </row>
    <row r="110" spans="1:13" x14ac:dyDescent="0.3">
      <c r="A110" t="s">
        <v>776</v>
      </c>
      <c r="B110" t="s">
        <v>342</v>
      </c>
      <c r="C110" s="1">
        <v>45756.009722222218</v>
      </c>
      <c r="D110" t="s">
        <v>43</v>
      </c>
      <c r="E110" t="s">
        <v>166</v>
      </c>
      <c r="F110">
        <v>117</v>
      </c>
      <c r="G110">
        <v>1248.3900000000001</v>
      </c>
      <c r="H110">
        <v>73.03</v>
      </c>
      <c r="I110" t="s">
        <v>76</v>
      </c>
      <c r="J110" t="s">
        <v>121</v>
      </c>
      <c r="L110" s="1">
        <v>45783</v>
      </c>
      <c r="M110" s="9">
        <f>Table11[[#This Row],[quantity]]*Table11[[#This Row],[price]]</f>
        <v>146061.63</v>
      </c>
    </row>
    <row r="111" spans="1:13" x14ac:dyDescent="0.3">
      <c r="A111" t="s">
        <v>777</v>
      </c>
      <c r="B111" t="s">
        <v>596</v>
      </c>
      <c r="C111" s="1">
        <v>45832.015972222223</v>
      </c>
      <c r="D111" t="s">
        <v>27</v>
      </c>
      <c r="E111" t="s">
        <v>166</v>
      </c>
      <c r="F111">
        <v>90</v>
      </c>
      <c r="G111">
        <v>775.93</v>
      </c>
      <c r="H111">
        <v>34.92</v>
      </c>
      <c r="I111" t="s">
        <v>82</v>
      </c>
      <c r="J111" t="s">
        <v>136</v>
      </c>
      <c r="L111" s="1">
        <v>45834</v>
      </c>
      <c r="M111" s="9">
        <f>Table11[[#This Row],[quantity]]*Table11[[#This Row],[price]]</f>
        <v>69833.7</v>
      </c>
    </row>
    <row r="112" spans="1:13" x14ac:dyDescent="0.3">
      <c r="A112" t="s">
        <v>778</v>
      </c>
      <c r="B112" t="s">
        <v>552</v>
      </c>
      <c r="C112" s="1">
        <v>45737.033333333333</v>
      </c>
      <c r="D112" t="s">
        <v>32</v>
      </c>
      <c r="E112" t="s">
        <v>161</v>
      </c>
      <c r="F112">
        <v>207</v>
      </c>
      <c r="G112">
        <v>2157.79</v>
      </c>
      <c r="H112">
        <v>223.33</v>
      </c>
      <c r="I112" t="s">
        <v>94</v>
      </c>
      <c r="J112" t="s">
        <v>115</v>
      </c>
      <c r="L112" s="1">
        <v>45835</v>
      </c>
      <c r="M112" s="9">
        <f>Table11[[#This Row],[quantity]]*Table11[[#This Row],[price]]</f>
        <v>446662.52999999997</v>
      </c>
    </row>
    <row r="113" spans="1:13" x14ac:dyDescent="0.3">
      <c r="A113" t="s">
        <v>779</v>
      </c>
      <c r="B113" t="s">
        <v>452</v>
      </c>
      <c r="C113" s="1">
        <v>45694.031944444447</v>
      </c>
      <c r="D113" t="s">
        <v>43</v>
      </c>
      <c r="E113" t="s">
        <v>166</v>
      </c>
      <c r="F113">
        <v>803</v>
      </c>
      <c r="G113">
        <v>1038.8</v>
      </c>
      <c r="H113">
        <v>417.08</v>
      </c>
      <c r="I113" t="s">
        <v>80</v>
      </c>
      <c r="J113" t="s">
        <v>130</v>
      </c>
      <c r="L113" s="1">
        <v>45749</v>
      </c>
      <c r="M113" s="9">
        <f>Table11[[#This Row],[quantity]]*Table11[[#This Row],[price]]</f>
        <v>834156.39999999991</v>
      </c>
    </row>
    <row r="114" spans="1:13" x14ac:dyDescent="0.3">
      <c r="A114" t="s">
        <v>780</v>
      </c>
      <c r="B114" t="s">
        <v>581</v>
      </c>
      <c r="C114" s="1">
        <v>45754.011111111111</v>
      </c>
      <c r="D114" t="s">
        <v>29</v>
      </c>
      <c r="E114" t="s">
        <v>161</v>
      </c>
      <c r="F114">
        <v>838</v>
      </c>
      <c r="G114">
        <v>1310.87</v>
      </c>
      <c r="H114">
        <v>549.25</v>
      </c>
      <c r="I114" t="s">
        <v>62</v>
      </c>
      <c r="J114" t="s">
        <v>133</v>
      </c>
      <c r="L114" s="1">
        <v>45727</v>
      </c>
      <c r="M114" s="9">
        <f>Table11[[#This Row],[quantity]]*Table11[[#This Row],[price]]</f>
        <v>1098509.0599999998</v>
      </c>
    </row>
    <row r="115" spans="1:13" x14ac:dyDescent="0.3">
      <c r="A115" t="s">
        <v>781</v>
      </c>
      <c r="B115" t="s">
        <v>213</v>
      </c>
      <c r="C115" s="1">
        <v>45750.031944444447</v>
      </c>
      <c r="D115" t="s">
        <v>35</v>
      </c>
      <c r="E115" t="s">
        <v>166</v>
      </c>
      <c r="F115">
        <v>864</v>
      </c>
      <c r="G115">
        <v>648.78</v>
      </c>
      <c r="H115">
        <v>280.27</v>
      </c>
      <c r="I115" t="s">
        <v>110</v>
      </c>
      <c r="J115" t="s">
        <v>136</v>
      </c>
      <c r="L115" s="1">
        <v>45659</v>
      </c>
      <c r="M115" s="9">
        <f>Table11[[#This Row],[quantity]]*Table11[[#This Row],[price]]</f>
        <v>560545.91999999993</v>
      </c>
    </row>
    <row r="116" spans="1:13" x14ac:dyDescent="0.3">
      <c r="A116" t="s">
        <v>782</v>
      </c>
      <c r="B116" t="s">
        <v>389</v>
      </c>
      <c r="C116" s="1">
        <v>45660.018055555563</v>
      </c>
      <c r="D116" t="s">
        <v>41</v>
      </c>
      <c r="E116" t="s">
        <v>161</v>
      </c>
      <c r="F116">
        <v>323</v>
      </c>
      <c r="G116">
        <v>450.48</v>
      </c>
      <c r="H116">
        <v>72.75</v>
      </c>
      <c r="I116" t="s">
        <v>78</v>
      </c>
      <c r="J116" t="s">
        <v>115</v>
      </c>
      <c r="L116" s="1">
        <v>45706</v>
      </c>
      <c r="M116" s="9">
        <f>Table11[[#This Row],[quantity]]*Table11[[#This Row],[price]]</f>
        <v>145505.04</v>
      </c>
    </row>
    <row r="117" spans="1:13" x14ac:dyDescent="0.3">
      <c r="A117" t="s">
        <v>783</v>
      </c>
      <c r="B117" t="s">
        <v>367</v>
      </c>
      <c r="C117" s="1">
        <v>45671.036805555559</v>
      </c>
      <c r="D117" t="s">
        <v>32</v>
      </c>
      <c r="E117" t="s">
        <v>161</v>
      </c>
      <c r="F117">
        <v>592</v>
      </c>
      <c r="G117">
        <v>2018.55</v>
      </c>
      <c r="H117">
        <v>597.49</v>
      </c>
      <c r="I117" t="s">
        <v>90</v>
      </c>
      <c r="J117" t="s">
        <v>133</v>
      </c>
      <c r="L117" s="1">
        <v>45826</v>
      </c>
      <c r="M117" s="9">
        <f>Table11[[#This Row],[quantity]]*Table11[[#This Row],[price]]</f>
        <v>1194981.5999999999</v>
      </c>
    </row>
    <row r="118" spans="1:13" x14ac:dyDescent="0.3">
      <c r="A118" t="s">
        <v>784</v>
      </c>
      <c r="B118" t="s">
        <v>516</v>
      </c>
      <c r="C118" s="1">
        <v>45792.000694444447</v>
      </c>
      <c r="D118" t="s">
        <v>37</v>
      </c>
      <c r="E118" t="s">
        <v>166</v>
      </c>
      <c r="F118">
        <v>83</v>
      </c>
      <c r="G118">
        <v>246.01</v>
      </c>
      <c r="H118">
        <v>10.210000000000001</v>
      </c>
      <c r="I118" t="s">
        <v>64</v>
      </c>
      <c r="J118" t="s">
        <v>124</v>
      </c>
      <c r="L118" s="1">
        <v>45671</v>
      </c>
      <c r="M118" s="9">
        <f>Table11[[#This Row],[quantity]]*Table11[[#This Row],[price]]</f>
        <v>20418.829999999998</v>
      </c>
    </row>
    <row r="119" spans="1:13" x14ac:dyDescent="0.3">
      <c r="A119" t="s">
        <v>785</v>
      </c>
      <c r="B119" t="s">
        <v>203</v>
      </c>
      <c r="C119" s="1">
        <v>45834.023611111108</v>
      </c>
      <c r="D119" t="s">
        <v>37</v>
      </c>
      <c r="E119" t="s">
        <v>161</v>
      </c>
      <c r="F119">
        <v>301</v>
      </c>
      <c r="G119">
        <v>254.6</v>
      </c>
      <c r="H119">
        <v>38.32</v>
      </c>
      <c r="I119" t="s">
        <v>62</v>
      </c>
      <c r="J119" t="s">
        <v>136</v>
      </c>
      <c r="L119" s="1">
        <v>45665</v>
      </c>
      <c r="M119" s="9">
        <f>Table11[[#This Row],[quantity]]*Table11[[#This Row],[price]]</f>
        <v>76634.599999999991</v>
      </c>
    </row>
    <row r="120" spans="1:13" x14ac:dyDescent="0.3">
      <c r="A120" t="s">
        <v>786</v>
      </c>
      <c r="B120" t="s">
        <v>282</v>
      </c>
      <c r="C120" s="1">
        <v>45761.027083333327</v>
      </c>
      <c r="D120" t="s">
        <v>39</v>
      </c>
      <c r="E120" t="s">
        <v>161</v>
      </c>
      <c r="F120">
        <v>546</v>
      </c>
      <c r="G120">
        <v>246.61</v>
      </c>
      <c r="H120">
        <v>67.319999999999993</v>
      </c>
      <c r="I120" t="s">
        <v>100</v>
      </c>
      <c r="J120" t="s">
        <v>124</v>
      </c>
      <c r="L120" s="1">
        <v>45784</v>
      </c>
      <c r="M120" s="9">
        <f>Table11[[#This Row],[quantity]]*Table11[[#This Row],[price]]</f>
        <v>134649.06</v>
      </c>
    </row>
    <row r="121" spans="1:13" x14ac:dyDescent="0.3">
      <c r="A121" t="s">
        <v>787</v>
      </c>
      <c r="B121" t="s">
        <v>496</v>
      </c>
      <c r="C121" s="1">
        <v>45791.024305555547</v>
      </c>
      <c r="D121" t="s">
        <v>29</v>
      </c>
      <c r="E121" t="s">
        <v>166</v>
      </c>
      <c r="F121">
        <v>898</v>
      </c>
      <c r="G121">
        <v>1232.26</v>
      </c>
      <c r="H121">
        <v>553.28</v>
      </c>
      <c r="I121" t="s">
        <v>92</v>
      </c>
      <c r="J121" t="s">
        <v>121</v>
      </c>
      <c r="L121" s="1">
        <v>45716</v>
      </c>
      <c r="M121" s="9">
        <f>Table11[[#This Row],[quantity]]*Table11[[#This Row],[price]]</f>
        <v>1106569.48</v>
      </c>
    </row>
    <row r="122" spans="1:13" x14ac:dyDescent="0.3">
      <c r="A122" t="s">
        <v>788</v>
      </c>
      <c r="B122" t="s">
        <v>193</v>
      </c>
      <c r="C122" s="1">
        <v>45727.036111111112</v>
      </c>
      <c r="D122" t="s">
        <v>29</v>
      </c>
      <c r="E122" t="s">
        <v>161</v>
      </c>
      <c r="F122">
        <v>377</v>
      </c>
      <c r="G122">
        <v>1309.3</v>
      </c>
      <c r="H122">
        <v>246.8</v>
      </c>
      <c r="I122" t="s">
        <v>82</v>
      </c>
      <c r="J122" t="s">
        <v>139</v>
      </c>
      <c r="L122" s="1">
        <v>45807</v>
      </c>
      <c r="M122" s="9">
        <f>Table11[[#This Row],[quantity]]*Table11[[#This Row],[price]]</f>
        <v>493606.1</v>
      </c>
    </row>
    <row r="123" spans="1:13" x14ac:dyDescent="0.3">
      <c r="A123" t="s">
        <v>789</v>
      </c>
      <c r="B123" t="s">
        <v>268</v>
      </c>
      <c r="C123" s="1">
        <v>45681.011805555558</v>
      </c>
      <c r="D123" t="s">
        <v>32</v>
      </c>
      <c r="E123" t="s">
        <v>161</v>
      </c>
      <c r="F123">
        <v>563</v>
      </c>
      <c r="G123">
        <v>2114.48</v>
      </c>
      <c r="H123">
        <v>595.23</v>
      </c>
      <c r="I123" t="s">
        <v>60</v>
      </c>
      <c r="J123" t="s">
        <v>139</v>
      </c>
      <c r="L123" s="1">
        <v>45701</v>
      </c>
      <c r="M123" s="9">
        <f>Table11[[#This Row],[quantity]]*Table11[[#This Row],[price]]</f>
        <v>1190452.24</v>
      </c>
    </row>
    <row r="124" spans="1:13" x14ac:dyDescent="0.3">
      <c r="A124" t="s">
        <v>790</v>
      </c>
      <c r="B124" t="s">
        <v>474</v>
      </c>
      <c r="C124" s="1">
        <v>45677.004861111112</v>
      </c>
      <c r="D124" t="s">
        <v>41</v>
      </c>
      <c r="E124" t="s">
        <v>166</v>
      </c>
      <c r="F124">
        <v>442</v>
      </c>
      <c r="G124">
        <v>486.92</v>
      </c>
      <c r="H124">
        <v>107.61</v>
      </c>
      <c r="I124" t="s">
        <v>80</v>
      </c>
      <c r="J124" t="s">
        <v>133</v>
      </c>
      <c r="L124" s="1">
        <v>45748</v>
      </c>
      <c r="M124" s="9">
        <f>Table11[[#This Row],[quantity]]*Table11[[#This Row],[price]]</f>
        <v>215218.64</v>
      </c>
    </row>
    <row r="125" spans="1:13" x14ac:dyDescent="0.3">
      <c r="A125" t="s">
        <v>791</v>
      </c>
      <c r="B125" t="s">
        <v>235</v>
      </c>
      <c r="C125" s="1">
        <v>45678.027083333327</v>
      </c>
      <c r="D125" t="s">
        <v>29</v>
      </c>
      <c r="E125" t="s">
        <v>166</v>
      </c>
      <c r="F125">
        <v>997</v>
      </c>
      <c r="G125">
        <v>1238.8399999999999</v>
      </c>
      <c r="H125">
        <v>617.55999999999995</v>
      </c>
      <c r="I125" t="s">
        <v>54</v>
      </c>
      <c r="J125" t="s">
        <v>127</v>
      </c>
      <c r="L125" s="1">
        <v>45719</v>
      </c>
      <c r="M125" s="9">
        <f>Table11[[#This Row],[quantity]]*Table11[[#This Row],[price]]</f>
        <v>1235123.48</v>
      </c>
    </row>
    <row r="126" spans="1:13" x14ac:dyDescent="0.3">
      <c r="A126" t="s">
        <v>792</v>
      </c>
      <c r="B126" t="s">
        <v>229</v>
      </c>
      <c r="C126" s="1">
        <v>45785.009722222218</v>
      </c>
      <c r="D126" t="s">
        <v>39</v>
      </c>
      <c r="E126" t="s">
        <v>161</v>
      </c>
      <c r="F126">
        <v>442</v>
      </c>
      <c r="G126">
        <v>227.22</v>
      </c>
      <c r="H126">
        <v>50.22</v>
      </c>
      <c r="I126" t="s">
        <v>90</v>
      </c>
      <c r="J126" t="s">
        <v>121</v>
      </c>
      <c r="L126" s="1">
        <v>45826</v>
      </c>
      <c r="M126" s="9">
        <f>Table11[[#This Row],[quantity]]*Table11[[#This Row],[price]]</f>
        <v>100431.24</v>
      </c>
    </row>
    <row r="127" spans="1:13" x14ac:dyDescent="0.3">
      <c r="A127" t="s">
        <v>793</v>
      </c>
      <c r="B127" t="s">
        <v>350</v>
      </c>
      <c r="C127" s="1">
        <v>45744.020138888889</v>
      </c>
      <c r="D127" t="s">
        <v>37</v>
      </c>
      <c r="E127" t="s">
        <v>161</v>
      </c>
      <c r="F127">
        <v>652</v>
      </c>
      <c r="G127">
        <v>243.97</v>
      </c>
      <c r="H127">
        <v>79.53</v>
      </c>
      <c r="I127" t="s">
        <v>84</v>
      </c>
      <c r="J127" t="s">
        <v>118</v>
      </c>
      <c r="L127" s="1">
        <v>45664</v>
      </c>
      <c r="M127" s="9">
        <f>Table11[[#This Row],[quantity]]*Table11[[#This Row],[price]]</f>
        <v>159068.44</v>
      </c>
    </row>
    <row r="128" spans="1:13" x14ac:dyDescent="0.3">
      <c r="A128" t="s">
        <v>794</v>
      </c>
      <c r="B128" t="s">
        <v>297</v>
      </c>
      <c r="C128" s="1">
        <v>45666.017361111109</v>
      </c>
      <c r="D128" t="s">
        <v>37</v>
      </c>
      <c r="E128" t="s">
        <v>166</v>
      </c>
      <c r="F128">
        <v>55</v>
      </c>
      <c r="G128">
        <v>227.33</v>
      </c>
      <c r="H128">
        <v>6.25</v>
      </c>
      <c r="I128" t="s">
        <v>106</v>
      </c>
      <c r="J128" t="s">
        <v>133</v>
      </c>
      <c r="L128" s="1">
        <v>45756</v>
      </c>
      <c r="M128" s="9">
        <f>Table11[[#This Row],[quantity]]*Table11[[#This Row],[price]]</f>
        <v>12503.150000000001</v>
      </c>
    </row>
    <row r="129" spans="1:13" x14ac:dyDescent="0.3">
      <c r="A129" t="s">
        <v>795</v>
      </c>
      <c r="B129" t="s">
        <v>266</v>
      </c>
      <c r="C129" s="1">
        <v>45821.022916666669</v>
      </c>
      <c r="D129" t="s">
        <v>32</v>
      </c>
      <c r="E129" t="s">
        <v>166</v>
      </c>
      <c r="F129">
        <v>473</v>
      </c>
      <c r="G129">
        <v>2159.0500000000002</v>
      </c>
      <c r="H129">
        <v>510.62</v>
      </c>
      <c r="I129" t="s">
        <v>80</v>
      </c>
      <c r="J129" t="s">
        <v>118</v>
      </c>
      <c r="L129" s="1">
        <v>45797</v>
      </c>
      <c r="M129" s="9">
        <f>Table11[[#This Row],[quantity]]*Table11[[#This Row],[price]]</f>
        <v>1021230.6500000001</v>
      </c>
    </row>
    <row r="130" spans="1:13" x14ac:dyDescent="0.3">
      <c r="A130" t="s">
        <v>796</v>
      </c>
      <c r="B130" t="s">
        <v>453</v>
      </c>
      <c r="C130" s="1">
        <v>45765.020138888889</v>
      </c>
      <c r="D130" t="s">
        <v>39</v>
      </c>
      <c r="E130" t="s">
        <v>161</v>
      </c>
      <c r="F130">
        <v>820</v>
      </c>
      <c r="G130">
        <v>241.42</v>
      </c>
      <c r="H130">
        <v>98.98</v>
      </c>
      <c r="I130" t="s">
        <v>98</v>
      </c>
      <c r="J130" t="s">
        <v>133</v>
      </c>
      <c r="L130" s="1">
        <v>45792</v>
      </c>
      <c r="M130" s="9">
        <f>Table11[[#This Row],[quantity]]*Table11[[#This Row],[price]]</f>
        <v>197964.4</v>
      </c>
    </row>
    <row r="131" spans="1:13" x14ac:dyDescent="0.3">
      <c r="A131" t="s">
        <v>797</v>
      </c>
      <c r="B131" t="s">
        <v>640</v>
      </c>
      <c r="C131" s="1">
        <v>45751.011805555558</v>
      </c>
      <c r="D131" t="s">
        <v>41</v>
      </c>
      <c r="E131" t="s">
        <v>161</v>
      </c>
      <c r="F131">
        <v>774</v>
      </c>
      <c r="G131">
        <v>587.33000000000004</v>
      </c>
      <c r="H131">
        <v>227.3</v>
      </c>
      <c r="I131" t="s">
        <v>66</v>
      </c>
      <c r="J131" t="s">
        <v>118</v>
      </c>
      <c r="L131" s="1">
        <v>45835</v>
      </c>
      <c r="M131" s="9">
        <f>Table11[[#This Row],[quantity]]*Table11[[#This Row],[price]]</f>
        <v>454593.42000000004</v>
      </c>
    </row>
    <row r="132" spans="1:13" x14ac:dyDescent="0.3">
      <c r="A132" t="s">
        <v>798</v>
      </c>
      <c r="B132" t="s">
        <v>458</v>
      </c>
      <c r="C132" s="1">
        <v>45719.011111111111</v>
      </c>
      <c r="D132" t="s">
        <v>41</v>
      </c>
      <c r="E132" t="s">
        <v>161</v>
      </c>
      <c r="F132">
        <v>938</v>
      </c>
      <c r="G132">
        <v>570.05999999999995</v>
      </c>
      <c r="H132">
        <v>267.36</v>
      </c>
      <c r="I132" t="s">
        <v>72</v>
      </c>
      <c r="J132" t="s">
        <v>127</v>
      </c>
      <c r="L132" s="1">
        <v>45681</v>
      </c>
      <c r="M132" s="9">
        <f>Table11[[#This Row],[quantity]]*Table11[[#This Row],[price]]</f>
        <v>534716.27999999991</v>
      </c>
    </row>
    <row r="133" spans="1:13" x14ac:dyDescent="0.3">
      <c r="A133" t="s">
        <v>799</v>
      </c>
      <c r="B133" t="s">
        <v>452</v>
      </c>
      <c r="C133" s="1">
        <v>45778.020833333343</v>
      </c>
      <c r="D133" t="s">
        <v>27</v>
      </c>
      <c r="E133" t="s">
        <v>161</v>
      </c>
      <c r="F133">
        <v>88</v>
      </c>
      <c r="G133">
        <v>832.99</v>
      </c>
      <c r="H133">
        <v>36.65</v>
      </c>
      <c r="I133" t="s">
        <v>84</v>
      </c>
      <c r="J133" t="s">
        <v>139</v>
      </c>
      <c r="L133" s="1">
        <v>45673</v>
      </c>
      <c r="M133" s="9">
        <f>Table11[[#This Row],[quantity]]*Table11[[#This Row],[price]]</f>
        <v>73303.12</v>
      </c>
    </row>
    <row r="134" spans="1:13" x14ac:dyDescent="0.3">
      <c r="A134" t="s">
        <v>800</v>
      </c>
      <c r="B134" t="s">
        <v>446</v>
      </c>
      <c r="C134" s="1">
        <v>45673.019444444442</v>
      </c>
      <c r="D134" t="s">
        <v>39</v>
      </c>
      <c r="E134" t="s">
        <v>161</v>
      </c>
      <c r="F134">
        <v>817</v>
      </c>
      <c r="G134">
        <v>243.15</v>
      </c>
      <c r="H134">
        <v>99.33</v>
      </c>
      <c r="I134" t="s">
        <v>68</v>
      </c>
      <c r="J134" t="s">
        <v>121</v>
      </c>
      <c r="L134" s="1">
        <v>45761</v>
      </c>
      <c r="M134" s="9">
        <f>Table11[[#This Row],[quantity]]*Table11[[#This Row],[price]]</f>
        <v>198653.55000000002</v>
      </c>
    </row>
    <row r="135" spans="1:13" x14ac:dyDescent="0.3">
      <c r="A135" t="s">
        <v>801</v>
      </c>
      <c r="B135" t="s">
        <v>662</v>
      </c>
      <c r="C135" s="1">
        <v>45673.026388888888</v>
      </c>
      <c r="D135" t="s">
        <v>27</v>
      </c>
      <c r="E135" t="s">
        <v>166</v>
      </c>
      <c r="F135">
        <v>189</v>
      </c>
      <c r="G135">
        <v>769.43</v>
      </c>
      <c r="H135">
        <v>72.709999999999994</v>
      </c>
      <c r="I135" t="s">
        <v>80</v>
      </c>
      <c r="J135" t="s">
        <v>130</v>
      </c>
      <c r="L135" s="1">
        <v>45691</v>
      </c>
      <c r="M135" s="9">
        <f>Table11[[#This Row],[quantity]]*Table11[[#This Row],[price]]</f>
        <v>145422.26999999999</v>
      </c>
    </row>
    <row r="136" spans="1:13" x14ac:dyDescent="0.3">
      <c r="A136" t="s">
        <v>802</v>
      </c>
      <c r="B136" t="s">
        <v>226</v>
      </c>
      <c r="C136" s="1">
        <v>45723.009722222218</v>
      </c>
      <c r="D136" t="s">
        <v>27</v>
      </c>
      <c r="E136" t="s">
        <v>161</v>
      </c>
      <c r="F136">
        <v>28</v>
      </c>
      <c r="G136">
        <v>754.8</v>
      </c>
      <c r="H136">
        <v>10.57</v>
      </c>
      <c r="I136" t="s">
        <v>110</v>
      </c>
      <c r="J136" t="s">
        <v>136</v>
      </c>
      <c r="L136" s="1">
        <v>45663</v>
      </c>
      <c r="M136" s="9">
        <f>Table11[[#This Row],[quantity]]*Table11[[#This Row],[price]]</f>
        <v>21134.399999999998</v>
      </c>
    </row>
    <row r="137" spans="1:13" x14ac:dyDescent="0.3">
      <c r="A137" t="s">
        <v>803</v>
      </c>
      <c r="B137" t="s">
        <v>463</v>
      </c>
      <c r="C137" s="1">
        <v>45827.03402777778</v>
      </c>
      <c r="D137" t="s">
        <v>27</v>
      </c>
      <c r="E137" t="s">
        <v>161</v>
      </c>
      <c r="F137">
        <v>590</v>
      </c>
      <c r="G137">
        <v>756.99</v>
      </c>
      <c r="H137">
        <v>223.31</v>
      </c>
      <c r="I137" t="s">
        <v>106</v>
      </c>
      <c r="J137" t="s">
        <v>133</v>
      </c>
      <c r="L137" s="1">
        <v>45789</v>
      </c>
      <c r="M137" s="9">
        <f>Table11[[#This Row],[quantity]]*Table11[[#This Row],[price]]</f>
        <v>446624.1</v>
      </c>
    </row>
    <row r="138" spans="1:13" x14ac:dyDescent="0.3">
      <c r="A138" t="s">
        <v>804</v>
      </c>
      <c r="B138" t="s">
        <v>293</v>
      </c>
      <c r="C138" s="1">
        <v>45680.025694444441</v>
      </c>
      <c r="D138" t="s">
        <v>29</v>
      </c>
      <c r="E138" t="s">
        <v>161</v>
      </c>
      <c r="F138">
        <v>163</v>
      </c>
      <c r="G138">
        <v>1263.03</v>
      </c>
      <c r="H138">
        <v>102.94</v>
      </c>
      <c r="I138" t="s">
        <v>48</v>
      </c>
      <c r="J138" t="s">
        <v>142</v>
      </c>
      <c r="L138" s="1">
        <v>45742</v>
      </c>
      <c r="M138" s="9">
        <f>Table11[[#This Row],[quantity]]*Table11[[#This Row],[price]]</f>
        <v>205873.88999999998</v>
      </c>
    </row>
    <row r="139" spans="1:13" x14ac:dyDescent="0.3">
      <c r="A139" t="s">
        <v>805</v>
      </c>
      <c r="B139" t="s">
        <v>517</v>
      </c>
      <c r="C139" s="1">
        <v>45677.032638888893</v>
      </c>
      <c r="D139" t="s">
        <v>27</v>
      </c>
      <c r="E139" t="s">
        <v>166</v>
      </c>
      <c r="F139">
        <v>787</v>
      </c>
      <c r="G139">
        <v>759.58</v>
      </c>
      <c r="H139">
        <v>298.89</v>
      </c>
      <c r="I139" t="s">
        <v>88</v>
      </c>
      <c r="J139" t="s">
        <v>130</v>
      </c>
      <c r="L139" s="1">
        <v>45723</v>
      </c>
      <c r="M139" s="9">
        <f>Table11[[#This Row],[quantity]]*Table11[[#This Row],[price]]</f>
        <v>597789.46000000008</v>
      </c>
    </row>
    <row r="140" spans="1:13" x14ac:dyDescent="0.3">
      <c r="A140" t="s">
        <v>806</v>
      </c>
      <c r="B140" t="s">
        <v>491</v>
      </c>
      <c r="C140" s="1">
        <v>45818.02847222222</v>
      </c>
      <c r="D140" t="s">
        <v>41</v>
      </c>
      <c r="E140" t="s">
        <v>161</v>
      </c>
      <c r="F140">
        <v>778</v>
      </c>
      <c r="G140">
        <v>615.16999999999996</v>
      </c>
      <c r="H140">
        <v>239.3</v>
      </c>
      <c r="I140" t="s">
        <v>66</v>
      </c>
      <c r="J140" t="s">
        <v>130</v>
      </c>
      <c r="L140" s="1">
        <v>45771</v>
      </c>
      <c r="M140" s="9">
        <f>Table11[[#This Row],[quantity]]*Table11[[#This Row],[price]]</f>
        <v>478602.25999999995</v>
      </c>
    </row>
    <row r="141" spans="1:13" x14ac:dyDescent="0.3">
      <c r="A141" t="s">
        <v>807</v>
      </c>
      <c r="B141" t="s">
        <v>494</v>
      </c>
      <c r="C141" s="1">
        <v>45771.011805555558</v>
      </c>
      <c r="D141" t="s">
        <v>32</v>
      </c>
      <c r="E141" t="s">
        <v>166</v>
      </c>
      <c r="F141">
        <v>206</v>
      </c>
      <c r="G141">
        <v>2151.77</v>
      </c>
      <c r="H141">
        <v>221.63</v>
      </c>
      <c r="I141" t="s">
        <v>92</v>
      </c>
      <c r="J141" t="s">
        <v>142</v>
      </c>
      <c r="L141" s="1">
        <v>45814</v>
      </c>
      <c r="M141" s="9">
        <f>Table11[[#This Row],[quantity]]*Table11[[#This Row],[price]]</f>
        <v>443264.62</v>
      </c>
    </row>
    <row r="142" spans="1:13" x14ac:dyDescent="0.3">
      <c r="A142" t="s">
        <v>808</v>
      </c>
      <c r="B142" t="s">
        <v>518</v>
      </c>
      <c r="C142" s="1">
        <v>45832.004166666673</v>
      </c>
      <c r="D142" t="s">
        <v>37</v>
      </c>
      <c r="E142" t="s">
        <v>166</v>
      </c>
      <c r="F142">
        <v>316</v>
      </c>
      <c r="G142">
        <v>260.02</v>
      </c>
      <c r="H142">
        <v>41.08</v>
      </c>
      <c r="I142" t="s">
        <v>48</v>
      </c>
      <c r="J142" t="s">
        <v>139</v>
      </c>
      <c r="L142" s="1">
        <v>45706</v>
      </c>
      <c r="M142" s="9">
        <f>Table11[[#This Row],[quantity]]*Table11[[#This Row],[price]]</f>
        <v>82166.319999999992</v>
      </c>
    </row>
    <row r="143" spans="1:13" x14ac:dyDescent="0.3">
      <c r="A143" t="s">
        <v>809</v>
      </c>
      <c r="B143" t="s">
        <v>587</v>
      </c>
      <c r="C143" s="1">
        <v>45671.025000000001</v>
      </c>
      <c r="D143" t="s">
        <v>43</v>
      </c>
      <c r="E143" t="s">
        <v>161</v>
      </c>
      <c r="F143">
        <v>478</v>
      </c>
      <c r="G143">
        <v>994.1</v>
      </c>
      <c r="H143">
        <v>237.59</v>
      </c>
      <c r="I143" t="s">
        <v>100</v>
      </c>
      <c r="J143" t="s">
        <v>127</v>
      </c>
      <c r="L143" s="1">
        <v>45813</v>
      </c>
      <c r="M143" s="9">
        <f>Table11[[#This Row],[quantity]]*Table11[[#This Row],[price]]</f>
        <v>475179.8</v>
      </c>
    </row>
    <row r="144" spans="1:13" x14ac:dyDescent="0.3">
      <c r="A144" t="s">
        <v>810</v>
      </c>
      <c r="B144" t="s">
        <v>587</v>
      </c>
      <c r="C144" s="1">
        <v>45777.009722222218</v>
      </c>
      <c r="D144" t="s">
        <v>32</v>
      </c>
      <c r="E144" t="s">
        <v>161</v>
      </c>
      <c r="F144">
        <v>670</v>
      </c>
      <c r="G144">
        <v>2088.73</v>
      </c>
      <c r="H144">
        <v>699.72</v>
      </c>
      <c r="I144" t="s">
        <v>84</v>
      </c>
      <c r="J144" t="s">
        <v>142</v>
      </c>
      <c r="L144" s="1">
        <v>45790</v>
      </c>
      <c r="M144" s="9">
        <f>Table11[[#This Row],[quantity]]*Table11[[#This Row],[price]]</f>
        <v>1399449.1</v>
      </c>
    </row>
    <row r="145" spans="1:13" x14ac:dyDescent="0.3">
      <c r="A145" t="s">
        <v>811</v>
      </c>
      <c r="B145" t="s">
        <v>265</v>
      </c>
      <c r="C145" s="1">
        <v>45761.004166666673</v>
      </c>
      <c r="D145" t="s">
        <v>41</v>
      </c>
      <c r="E145" t="s">
        <v>166</v>
      </c>
      <c r="F145">
        <v>384</v>
      </c>
      <c r="G145">
        <v>568.88</v>
      </c>
      <c r="H145">
        <v>109.22</v>
      </c>
      <c r="I145" t="s">
        <v>100</v>
      </c>
      <c r="J145" t="s">
        <v>121</v>
      </c>
      <c r="L145" s="1">
        <v>45736</v>
      </c>
      <c r="M145" s="9">
        <f>Table11[[#This Row],[quantity]]*Table11[[#This Row],[price]]</f>
        <v>218449.91999999998</v>
      </c>
    </row>
    <row r="146" spans="1:13" x14ac:dyDescent="0.3">
      <c r="A146" t="s">
        <v>812</v>
      </c>
      <c r="B146" t="s">
        <v>516</v>
      </c>
      <c r="C146" s="1">
        <v>45728</v>
      </c>
      <c r="D146" t="s">
        <v>37</v>
      </c>
      <c r="E146" t="s">
        <v>166</v>
      </c>
      <c r="F146">
        <v>275</v>
      </c>
      <c r="G146">
        <v>249.85</v>
      </c>
      <c r="H146">
        <v>34.35</v>
      </c>
      <c r="I146" t="s">
        <v>57</v>
      </c>
      <c r="J146" t="s">
        <v>139</v>
      </c>
      <c r="L146" s="1">
        <v>45672</v>
      </c>
      <c r="M146" s="9">
        <f>Table11[[#This Row],[quantity]]*Table11[[#This Row],[price]]</f>
        <v>68708.75</v>
      </c>
    </row>
    <row r="147" spans="1:13" x14ac:dyDescent="0.3">
      <c r="A147" t="s">
        <v>813</v>
      </c>
      <c r="B147" t="s">
        <v>506</v>
      </c>
      <c r="C147" s="1">
        <v>45736.027777777781</v>
      </c>
      <c r="D147" t="s">
        <v>41</v>
      </c>
      <c r="E147" t="s">
        <v>166</v>
      </c>
      <c r="F147">
        <v>765</v>
      </c>
      <c r="G147">
        <v>588.69000000000005</v>
      </c>
      <c r="H147">
        <v>225.17</v>
      </c>
      <c r="I147" t="s">
        <v>76</v>
      </c>
      <c r="J147" t="s">
        <v>133</v>
      </c>
      <c r="L147" s="1">
        <v>45744</v>
      </c>
      <c r="M147" s="9">
        <f>Table11[[#This Row],[quantity]]*Table11[[#This Row],[price]]</f>
        <v>450347.85000000003</v>
      </c>
    </row>
    <row r="148" spans="1:13" x14ac:dyDescent="0.3">
      <c r="A148" t="s">
        <v>814</v>
      </c>
      <c r="B148" t="s">
        <v>582</v>
      </c>
      <c r="C148" s="1">
        <v>45701.025694444441</v>
      </c>
      <c r="D148" t="s">
        <v>37</v>
      </c>
      <c r="E148" t="s">
        <v>166</v>
      </c>
      <c r="F148">
        <v>755</v>
      </c>
      <c r="G148">
        <v>232.66</v>
      </c>
      <c r="H148">
        <v>87.83</v>
      </c>
      <c r="I148" t="s">
        <v>102</v>
      </c>
      <c r="J148" t="s">
        <v>127</v>
      </c>
      <c r="L148" s="1">
        <v>45799</v>
      </c>
      <c r="M148" s="9">
        <f>Table11[[#This Row],[quantity]]*Table11[[#This Row],[price]]</f>
        <v>175658.3</v>
      </c>
    </row>
    <row r="149" spans="1:13" x14ac:dyDescent="0.3">
      <c r="A149" t="s">
        <v>815</v>
      </c>
      <c r="B149" t="s">
        <v>544</v>
      </c>
      <c r="C149" s="1">
        <v>45702.03402777778</v>
      </c>
      <c r="D149" t="s">
        <v>41</v>
      </c>
      <c r="E149" t="s">
        <v>166</v>
      </c>
      <c r="F149">
        <v>222</v>
      </c>
      <c r="G149">
        <v>540.85</v>
      </c>
      <c r="H149">
        <v>60.03</v>
      </c>
      <c r="I149" t="s">
        <v>78</v>
      </c>
      <c r="J149" t="s">
        <v>142</v>
      </c>
      <c r="L149" s="1">
        <v>45772</v>
      </c>
      <c r="M149" s="9">
        <f>Table11[[#This Row],[quantity]]*Table11[[#This Row],[price]]</f>
        <v>120068.70000000001</v>
      </c>
    </row>
    <row r="150" spans="1:13" x14ac:dyDescent="0.3">
      <c r="A150" t="s">
        <v>816</v>
      </c>
      <c r="B150" t="s">
        <v>445</v>
      </c>
      <c r="C150" s="1">
        <v>45817.03125</v>
      </c>
      <c r="D150" t="s">
        <v>35</v>
      </c>
      <c r="E150" t="s">
        <v>161</v>
      </c>
      <c r="F150">
        <v>767</v>
      </c>
      <c r="G150">
        <v>672.18</v>
      </c>
      <c r="H150">
        <v>257.77999999999997</v>
      </c>
      <c r="I150" t="s">
        <v>94</v>
      </c>
      <c r="J150" t="s">
        <v>133</v>
      </c>
      <c r="L150" s="1">
        <v>45698</v>
      </c>
      <c r="M150" s="9">
        <f>Table11[[#This Row],[quantity]]*Table11[[#This Row],[price]]</f>
        <v>515562.05999999994</v>
      </c>
    </row>
    <row r="151" spans="1:13" x14ac:dyDescent="0.3">
      <c r="A151" t="s">
        <v>817</v>
      </c>
      <c r="B151" t="s">
        <v>390</v>
      </c>
      <c r="C151" s="1">
        <v>45674.022222222222</v>
      </c>
      <c r="D151" t="s">
        <v>32</v>
      </c>
      <c r="E151" t="s">
        <v>161</v>
      </c>
      <c r="F151">
        <v>817</v>
      </c>
      <c r="G151">
        <v>2048.3000000000002</v>
      </c>
      <c r="H151">
        <v>836.73</v>
      </c>
      <c r="I151" t="s">
        <v>96</v>
      </c>
      <c r="J151" t="s">
        <v>127</v>
      </c>
      <c r="L151" s="1">
        <v>45658</v>
      </c>
      <c r="M151" s="9">
        <f>Table11[[#This Row],[quantity]]*Table11[[#This Row],[price]]</f>
        <v>1673461.1</v>
      </c>
    </row>
    <row r="152" spans="1:13" x14ac:dyDescent="0.3">
      <c r="A152" t="s">
        <v>818</v>
      </c>
      <c r="B152" t="s">
        <v>466</v>
      </c>
      <c r="C152" s="1">
        <v>45684.031944444447</v>
      </c>
      <c r="D152" t="s">
        <v>37</v>
      </c>
      <c r="E152" t="s">
        <v>161</v>
      </c>
      <c r="F152">
        <v>963</v>
      </c>
      <c r="G152">
        <v>234.75</v>
      </c>
      <c r="H152">
        <v>113.03</v>
      </c>
      <c r="I152" t="s">
        <v>57</v>
      </c>
      <c r="J152" t="s">
        <v>142</v>
      </c>
      <c r="L152" s="1">
        <v>45797</v>
      </c>
      <c r="M152" s="9">
        <f>Table11[[#This Row],[quantity]]*Table11[[#This Row],[price]]</f>
        <v>226064.25</v>
      </c>
    </row>
    <row r="153" spans="1:13" x14ac:dyDescent="0.3">
      <c r="A153" t="s">
        <v>819</v>
      </c>
      <c r="B153" t="s">
        <v>345</v>
      </c>
      <c r="C153" s="1">
        <v>45813.031944444447</v>
      </c>
      <c r="D153" t="s">
        <v>32</v>
      </c>
      <c r="E153" t="s">
        <v>161</v>
      </c>
      <c r="F153">
        <v>14</v>
      </c>
      <c r="G153">
        <v>2175.73</v>
      </c>
      <c r="H153">
        <v>15.23</v>
      </c>
      <c r="I153" t="s">
        <v>54</v>
      </c>
      <c r="J153" t="s">
        <v>133</v>
      </c>
      <c r="L153" s="1">
        <v>45834</v>
      </c>
      <c r="M153" s="9">
        <f>Table11[[#This Row],[quantity]]*Table11[[#This Row],[price]]</f>
        <v>30460.22</v>
      </c>
    </row>
    <row r="154" spans="1:13" x14ac:dyDescent="0.3">
      <c r="A154" t="s">
        <v>820</v>
      </c>
      <c r="B154" t="s">
        <v>627</v>
      </c>
      <c r="C154" s="1">
        <v>45783.022222222222</v>
      </c>
      <c r="D154" t="s">
        <v>43</v>
      </c>
      <c r="E154" t="s">
        <v>166</v>
      </c>
      <c r="F154">
        <v>625</v>
      </c>
      <c r="G154">
        <v>1361.27</v>
      </c>
      <c r="H154">
        <v>425.4</v>
      </c>
      <c r="I154" t="s">
        <v>64</v>
      </c>
      <c r="J154" t="s">
        <v>139</v>
      </c>
      <c r="L154" s="1">
        <v>45784</v>
      </c>
      <c r="M154" s="9">
        <f>Table11[[#This Row],[quantity]]*Table11[[#This Row],[price]]</f>
        <v>850793.75</v>
      </c>
    </row>
    <row r="155" spans="1:13" x14ac:dyDescent="0.3">
      <c r="A155" t="s">
        <v>821</v>
      </c>
      <c r="B155" t="s">
        <v>613</v>
      </c>
      <c r="C155" s="1">
        <v>45659.020833333343</v>
      </c>
      <c r="D155" t="s">
        <v>39</v>
      </c>
      <c r="E155" t="s">
        <v>161</v>
      </c>
      <c r="F155">
        <v>648</v>
      </c>
      <c r="G155">
        <v>245.45</v>
      </c>
      <c r="H155">
        <v>79.53</v>
      </c>
      <c r="I155" t="s">
        <v>62</v>
      </c>
      <c r="J155" t="s">
        <v>121</v>
      </c>
      <c r="L155" s="1">
        <v>45833</v>
      </c>
      <c r="M155" s="9">
        <f>Table11[[#This Row],[quantity]]*Table11[[#This Row],[price]]</f>
        <v>159051.6</v>
      </c>
    </row>
    <row r="156" spans="1:13" x14ac:dyDescent="0.3">
      <c r="A156" t="s">
        <v>822</v>
      </c>
      <c r="B156" t="s">
        <v>298</v>
      </c>
      <c r="C156" s="1">
        <v>45758.038194444453</v>
      </c>
      <c r="D156" t="s">
        <v>27</v>
      </c>
      <c r="E156" t="s">
        <v>161</v>
      </c>
      <c r="F156">
        <v>553</v>
      </c>
      <c r="G156">
        <v>819.23</v>
      </c>
      <c r="H156">
        <v>226.52</v>
      </c>
      <c r="I156" t="s">
        <v>104</v>
      </c>
      <c r="J156" t="s">
        <v>121</v>
      </c>
      <c r="L156" s="1">
        <v>45789</v>
      </c>
      <c r="M156" s="9">
        <f>Table11[[#This Row],[quantity]]*Table11[[#This Row],[price]]</f>
        <v>453034.19</v>
      </c>
    </row>
    <row r="157" spans="1:13" x14ac:dyDescent="0.3">
      <c r="A157" t="s">
        <v>823</v>
      </c>
      <c r="B157" t="s">
        <v>170</v>
      </c>
      <c r="C157" s="1">
        <v>45805.010416666657</v>
      </c>
      <c r="D157" t="s">
        <v>43</v>
      </c>
      <c r="E157" t="s">
        <v>161</v>
      </c>
      <c r="F157">
        <v>769</v>
      </c>
      <c r="G157">
        <v>1445.49</v>
      </c>
      <c r="H157">
        <v>555.79</v>
      </c>
      <c r="I157" t="s">
        <v>88</v>
      </c>
      <c r="J157" t="s">
        <v>118</v>
      </c>
      <c r="L157" s="1">
        <v>45680</v>
      </c>
      <c r="M157" s="9">
        <f>Table11[[#This Row],[quantity]]*Table11[[#This Row],[price]]</f>
        <v>1111581.81</v>
      </c>
    </row>
    <row r="158" spans="1:13" x14ac:dyDescent="0.3">
      <c r="A158" t="s">
        <v>824</v>
      </c>
      <c r="B158" t="s">
        <v>392</v>
      </c>
      <c r="C158" s="1">
        <v>45776.032638888893</v>
      </c>
      <c r="D158" t="s">
        <v>27</v>
      </c>
      <c r="E158" t="s">
        <v>161</v>
      </c>
      <c r="F158">
        <v>719</v>
      </c>
      <c r="G158">
        <v>833.74</v>
      </c>
      <c r="H158">
        <v>299.73</v>
      </c>
      <c r="I158" t="s">
        <v>100</v>
      </c>
      <c r="J158" t="s">
        <v>133</v>
      </c>
      <c r="L158" s="1">
        <v>45663</v>
      </c>
      <c r="M158" s="9">
        <f>Table11[[#This Row],[quantity]]*Table11[[#This Row],[price]]</f>
        <v>599459.06000000006</v>
      </c>
    </row>
    <row r="159" spans="1:13" x14ac:dyDescent="0.3">
      <c r="A159" t="s">
        <v>825</v>
      </c>
      <c r="B159" t="s">
        <v>616</v>
      </c>
      <c r="C159" s="1">
        <v>45828.01458333333</v>
      </c>
      <c r="D159" t="s">
        <v>43</v>
      </c>
      <c r="E159" t="s">
        <v>161</v>
      </c>
      <c r="F159">
        <v>153</v>
      </c>
      <c r="G159">
        <v>1427.43</v>
      </c>
      <c r="H159">
        <v>109.2</v>
      </c>
      <c r="I159" t="s">
        <v>100</v>
      </c>
      <c r="J159" t="s">
        <v>115</v>
      </c>
      <c r="L159" s="1">
        <v>45734</v>
      </c>
      <c r="M159" s="9">
        <f>Table11[[#This Row],[quantity]]*Table11[[#This Row],[price]]</f>
        <v>218396.79</v>
      </c>
    </row>
    <row r="160" spans="1:13" x14ac:dyDescent="0.3">
      <c r="A160" t="s">
        <v>826</v>
      </c>
      <c r="B160" t="s">
        <v>261</v>
      </c>
      <c r="C160" s="1">
        <v>45783.004166666673</v>
      </c>
      <c r="D160" t="s">
        <v>32</v>
      </c>
      <c r="E160" t="s">
        <v>161</v>
      </c>
      <c r="F160">
        <v>366</v>
      </c>
      <c r="G160">
        <v>2188.7399999999998</v>
      </c>
      <c r="H160">
        <v>400.54</v>
      </c>
      <c r="I160" t="s">
        <v>74</v>
      </c>
      <c r="J160" t="s">
        <v>118</v>
      </c>
      <c r="L160" s="1">
        <v>45674</v>
      </c>
      <c r="M160" s="9">
        <f>Table11[[#This Row],[quantity]]*Table11[[#This Row],[price]]</f>
        <v>801078.84</v>
      </c>
    </row>
    <row r="161" spans="1:13" x14ac:dyDescent="0.3">
      <c r="A161" t="s">
        <v>827</v>
      </c>
      <c r="B161" t="s">
        <v>232</v>
      </c>
      <c r="C161" s="1">
        <v>45764.022222222222</v>
      </c>
      <c r="D161" t="s">
        <v>41</v>
      </c>
      <c r="E161" t="s">
        <v>161</v>
      </c>
      <c r="F161">
        <v>624</v>
      </c>
      <c r="G161">
        <v>580</v>
      </c>
      <c r="H161">
        <v>180.96</v>
      </c>
      <c r="I161" t="s">
        <v>72</v>
      </c>
      <c r="J161" t="s">
        <v>136</v>
      </c>
      <c r="L161" s="1">
        <v>45779</v>
      </c>
      <c r="M161" s="9">
        <f>Table11[[#This Row],[quantity]]*Table11[[#This Row],[price]]</f>
        <v>361920</v>
      </c>
    </row>
    <row r="162" spans="1:13" x14ac:dyDescent="0.3">
      <c r="A162" t="s">
        <v>828</v>
      </c>
      <c r="B162" t="s">
        <v>265</v>
      </c>
      <c r="C162" s="1">
        <v>45702.011111111111</v>
      </c>
      <c r="D162" t="s">
        <v>27</v>
      </c>
      <c r="E162" t="s">
        <v>161</v>
      </c>
      <c r="F162">
        <v>80</v>
      </c>
      <c r="G162">
        <v>730.95</v>
      </c>
      <c r="H162">
        <v>29.24</v>
      </c>
      <c r="I162" t="s">
        <v>106</v>
      </c>
      <c r="J162" t="s">
        <v>133</v>
      </c>
      <c r="L162" s="1">
        <v>45699</v>
      </c>
      <c r="M162" s="9">
        <f>Table11[[#This Row],[quantity]]*Table11[[#This Row],[price]]</f>
        <v>58476</v>
      </c>
    </row>
    <row r="163" spans="1:13" x14ac:dyDescent="0.3">
      <c r="A163" t="s">
        <v>829</v>
      </c>
      <c r="B163" t="s">
        <v>538</v>
      </c>
      <c r="C163" s="1">
        <v>45664.018055555563</v>
      </c>
      <c r="D163" t="s">
        <v>35</v>
      </c>
      <c r="E163" t="s">
        <v>161</v>
      </c>
      <c r="F163">
        <v>230</v>
      </c>
      <c r="G163">
        <v>616.86</v>
      </c>
      <c r="H163">
        <v>70.94</v>
      </c>
      <c r="I163" t="s">
        <v>74</v>
      </c>
      <c r="J163" t="s">
        <v>139</v>
      </c>
      <c r="L163" s="1">
        <v>45833</v>
      </c>
      <c r="M163" s="9">
        <f>Table11[[#This Row],[quantity]]*Table11[[#This Row],[price]]</f>
        <v>141877.80000000002</v>
      </c>
    </row>
    <row r="164" spans="1:13" x14ac:dyDescent="0.3">
      <c r="A164" t="s">
        <v>830</v>
      </c>
      <c r="B164" t="s">
        <v>453</v>
      </c>
      <c r="C164" s="1">
        <v>45790.033333333333</v>
      </c>
      <c r="D164" t="s">
        <v>27</v>
      </c>
      <c r="E164" t="s">
        <v>166</v>
      </c>
      <c r="F164">
        <v>923</v>
      </c>
      <c r="G164">
        <v>814.88</v>
      </c>
      <c r="H164">
        <v>376.07</v>
      </c>
      <c r="I164" t="s">
        <v>64</v>
      </c>
      <c r="J164" t="s">
        <v>115</v>
      </c>
      <c r="L164" s="1">
        <v>45832</v>
      </c>
      <c r="M164" s="9">
        <f>Table11[[#This Row],[quantity]]*Table11[[#This Row],[price]]</f>
        <v>752134.24</v>
      </c>
    </row>
    <row r="165" spans="1:13" x14ac:dyDescent="0.3">
      <c r="A165" t="s">
        <v>831</v>
      </c>
      <c r="B165" t="s">
        <v>473</v>
      </c>
      <c r="C165" s="1">
        <v>45742.025000000001</v>
      </c>
      <c r="D165" t="s">
        <v>39</v>
      </c>
      <c r="E165" t="s">
        <v>161</v>
      </c>
      <c r="F165">
        <v>318</v>
      </c>
      <c r="G165">
        <v>231.34</v>
      </c>
      <c r="H165">
        <v>36.78</v>
      </c>
      <c r="I165" t="s">
        <v>78</v>
      </c>
      <c r="J165" t="s">
        <v>142</v>
      </c>
      <c r="L165" s="1">
        <v>45782</v>
      </c>
      <c r="M165" s="9">
        <f>Table11[[#This Row],[quantity]]*Table11[[#This Row],[price]]</f>
        <v>73566.12</v>
      </c>
    </row>
    <row r="166" spans="1:13" x14ac:dyDescent="0.3">
      <c r="A166" t="s">
        <v>832</v>
      </c>
      <c r="B166" t="s">
        <v>326</v>
      </c>
      <c r="C166" s="1">
        <v>45663.038888888892</v>
      </c>
      <c r="D166" t="s">
        <v>35</v>
      </c>
      <c r="E166" t="s">
        <v>161</v>
      </c>
      <c r="F166">
        <v>870</v>
      </c>
      <c r="G166">
        <v>607.21</v>
      </c>
      <c r="H166">
        <v>264.14</v>
      </c>
      <c r="I166" t="s">
        <v>100</v>
      </c>
      <c r="J166" t="s">
        <v>127</v>
      </c>
      <c r="L166" s="1">
        <v>45693</v>
      </c>
      <c r="M166" s="9">
        <f>Table11[[#This Row],[quantity]]*Table11[[#This Row],[price]]</f>
        <v>528272.70000000007</v>
      </c>
    </row>
    <row r="167" spans="1:13" x14ac:dyDescent="0.3">
      <c r="A167" t="s">
        <v>833</v>
      </c>
      <c r="B167" t="s">
        <v>483</v>
      </c>
      <c r="C167" s="1">
        <v>45658</v>
      </c>
      <c r="D167" t="s">
        <v>32</v>
      </c>
      <c r="E167" t="s">
        <v>166</v>
      </c>
      <c r="F167">
        <v>176</v>
      </c>
      <c r="G167">
        <v>1961.49</v>
      </c>
      <c r="H167">
        <v>172.61</v>
      </c>
      <c r="I167" t="s">
        <v>70</v>
      </c>
      <c r="J167" t="s">
        <v>118</v>
      </c>
      <c r="L167" s="1">
        <v>45692</v>
      </c>
      <c r="M167" s="9">
        <f>Table11[[#This Row],[quantity]]*Table11[[#This Row],[price]]</f>
        <v>345222.24</v>
      </c>
    </row>
    <row r="168" spans="1:13" x14ac:dyDescent="0.3">
      <c r="A168" t="s">
        <v>834</v>
      </c>
      <c r="B168" t="s">
        <v>407</v>
      </c>
      <c r="C168" s="1">
        <v>45783.040972222218</v>
      </c>
      <c r="D168" t="s">
        <v>39</v>
      </c>
      <c r="E168" t="s">
        <v>166</v>
      </c>
      <c r="F168">
        <v>570</v>
      </c>
      <c r="G168">
        <v>227.17</v>
      </c>
      <c r="H168">
        <v>64.739999999999995</v>
      </c>
      <c r="I168" t="s">
        <v>54</v>
      </c>
      <c r="J168" t="s">
        <v>118</v>
      </c>
      <c r="L168" s="1">
        <v>45749</v>
      </c>
      <c r="M168" s="9">
        <f>Table11[[#This Row],[quantity]]*Table11[[#This Row],[price]]</f>
        <v>129486.9</v>
      </c>
    </row>
    <row r="169" spans="1:13" x14ac:dyDescent="0.3">
      <c r="A169" t="s">
        <v>835</v>
      </c>
      <c r="B169" t="s">
        <v>386</v>
      </c>
      <c r="C169" s="1">
        <v>45726.019444444442</v>
      </c>
      <c r="D169" t="s">
        <v>29</v>
      </c>
      <c r="E169" t="s">
        <v>161</v>
      </c>
      <c r="F169">
        <v>481</v>
      </c>
      <c r="G169">
        <v>1290.7</v>
      </c>
      <c r="H169">
        <v>310.41000000000003</v>
      </c>
      <c r="I169" t="s">
        <v>70</v>
      </c>
      <c r="J169" t="s">
        <v>127</v>
      </c>
      <c r="L169" s="1">
        <v>45707</v>
      </c>
      <c r="M169" s="9">
        <f>Table11[[#This Row],[quantity]]*Table11[[#This Row],[price]]</f>
        <v>620826.70000000007</v>
      </c>
    </row>
    <row r="170" spans="1:13" x14ac:dyDescent="0.3">
      <c r="A170" t="s">
        <v>836</v>
      </c>
      <c r="B170" t="s">
        <v>586</v>
      </c>
      <c r="C170" s="1">
        <v>45831.038888888892</v>
      </c>
      <c r="D170" t="s">
        <v>35</v>
      </c>
      <c r="E170" t="s">
        <v>161</v>
      </c>
      <c r="F170">
        <v>483</v>
      </c>
      <c r="G170">
        <v>673.77</v>
      </c>
      <c r="H170">
        <v>162.72</v>
      </c>
      <c r="I170" t="s">
        <v>78</v>
      </c>
      <c r="J170" t="s">
        <v>133</v>
      </c>
      <c r="L170" s="1">
        <v>45713</v>
      </c>
      <c r="M170" s="9">
        <f>Table11[[#This Row],[quantity]]*Table11[[#This Row],[price]]</f>
        <v>325430.90999999997</v>
      </c>
    </row>
    <row r="171" spans="1:13" x14ac:dyDescent="0.3">
      <c r="A171" t="s">
        <v>837</v>
      </c>
      <c r="B171" t="s">
        <v>527</v>
      </c>
      <c r="C171" s="1">
        <v>45814.021527777782</v>
      </c>
      <c r="D171" t="s">
        <v>27</v>
      </c>
      <c r="E171" t="s">
        <v>166</v>
      </c>
      <c r="F171">
        <v>863</v>
      </c>
      <c r="G171">
        <v>756.52</v>
      </c>
      <c r="H171">
        <v>326.44</v>
      </c>
      <c r="I171" t="s">
        <v>84</v>
      </c>
      <c r="J171" t="s">
        <v>118</v>
      </c>
      <c r="L171" s="1">
        <v>45825</v>
      </c>
      <c r="M171" s="9">
        <f>Table11[[#This Row],[quantity]]*Table11[[#This Row],[price]]</f>
        <v>652876.76</v>
      </c>
    </row>
    <row r="172" spans="1:13" x14ac:dyDescent="0.3">
      <c r="A172" t="s">
        <v>838</v>
      </c>
      <c r="B172" t="s">
        <v>601</v>
      </c>
      <c r="C172" s="1">
        <v>45735.017361111109</v>
      </c>
      <c r="D172" t="s">
        <v>39</v>
      </c>
      <c r="E172" t="s">
        <v>161</v>
      </c>
      <c r="F172">
        <v>717</v>
      </c>
      <c r="G172">
        <v>237.15</v>
      </c>
      <c r="H172">
        <v>85.02</v>
      </c>
      <c r="I172" t="s">
        <v>64</v>
      </c>
      <c r="J172" t="s">
        <v>130</v>
      </c>
      <c r="L172" s="1">
        <v>45818</v>
      </c>
      <c r="M172" s="9">
        <f>Table11[[#This Row],[quantity]]*Table11[[#This Row],[price]]</f>
        <v>170036.55000000002</v>
      </c>
    </row>
    <row r="173" spans="1:13" x14ac:dyDescent="0.3">
      <c r="A173" t="s">
        <v>839</v>
      </c>
      <c r="B173" t="s">
        <v>487</v>
      </c>
      <c r="C173" s="1">
        <v>45679.032638888893</v>
      </c>
      <c r="D173" t="s">
        <v>27</v>
      </c>
      <c r="E173" t="s">
        <v>166</v>
      </c>
      <c r="F173">
        <v>174</v>
      </c>
      <c r="G173">
        <v>732.03</v>
      </c>
      <c r="H173">
        <v>63.69</v>
      </c>
      <c r="I173" t="s">
        <v>70</v>
      </c>
      <c r="J173" t="s">
        <v>124</v>
      </c>
      <c r="L173" s="1">
        <v>45791</v>
      </c>
      <c r="M173" s="9">
        <f>Table11[[#This Row],[quantity]]*Table11[[#This Row],[price]]</f>
        <v>127373.22</v>
      </c>
    </row>
    <row r="174" spans="1:13" x14ac:dyDescent="0.3">
      <c r="A174" t="s">
        <v>840</v>
      </c>
      <c r="B174" t="s">
        <v>629</v>
      </c>
      <c r="C174" s="1">
        <v>45720.022222222222</v>
      </c>
      <c r="D174" t="s">
        <v>43</v>
      </c>
      <c r="E174" t="s">
        <v>166</v>
      </c>
      <c r="F174">
        <v>411</v>
      </c>
      <c r="G174">
        <v>1040.8499999999999</v>
      </c>
      <c r="H174">
        <v>213.89</v>
      </c>
      <c r="I174" t="s">
        <v>60</v>
      </c>
      <c r="J174" t="s">
        <v>142</v>
      </c>
      <c r="L174" s="1">
        <v>45673</v>
      </c>
      <c r="M174" s="9">
        <f>Table11[[#This Row],[quantity]]*Table11[[#This Row],[price]]</f>
        <v>427789.35</v>
      </c>
    </row>
    <row r="175" spans="1:13" x14ac:dyDescent="0.3">
      <c r="A175" t="s">
        <v>841</v>
      </c>
      <c r="B175" t="s">
        <v>203</v>
      </c>
      <c r="C175" s="1">
        <v>45820.022222222222</v>
      </c>
      <c r="D175" t="s">
        <v>29</v>
      </c>
      <c r="E175" t="s">
        <v>161</v>
      </c>
      <c r="F175">
        <v>589</v>
      </c>
      <c r="G175">
        <v>1249.47</v>
      </c>
      <c r="H175">
        <v>367.97</v>
      </c>
      <c r="I175" t="s">
        <v>90</v>
      </c>
      <c r="J175" t="s">
        <v>136</v>
      </c>
      <c r="L175" s="1">
        <v>45833</v>
      </c>
      <c r="M175" s="9">
        <f>Table11[[#This Row],[quantity]]*Table11[[#This Row],[price]]</f>
        <v>735937.83</v>
      </c>
    </row>
    <row r="176" spans="1:13" x14ac:dyDescent="0.3">
      <c r="A176" t="s">
        <v>842</v>
      </c>
      <c r="B176" t="s">
        <v>165</v>
      </c>
      <c r="C176" s="1">
        <v>45715.003472222219</v>
      </c>
      <c r="D176" t="s">
        <v>27</v>
      </c>
      <c r="E176" t="s">
        <v>161</v>
      </c>
      <c r="F176">
        <v>306</v>
      </c>
      <c r="G176">
        <v>770.15</v>
      </c>
      <c r="H176">
        <v>117.83</v>
      </c>
      <c r="I176" t="s">
        <v>57</v>
      </c>
      <c r="J176" t="s">
        <v>136</v>
      </c>
      <c r="L176" s="1">
        <v>45691</v>
      </c>
      <c r="M176" s="9">
        <f>Table11[[#This Row],[quantity]]*Table11[[#This Row],[price]]</f>
        <v>235665.9</v>
      </c>
    </row>
    <row r="177" spans="1:13" x14ac:dyDescent="0.3">
      <c r="A177" t="s">
        <v>843</v>
      </c>
      <c r="B177" t="s">
        <v>486</v>
      </c>
      <c r="C177" s="1">
        <v>45765.002083333333</v>
      </c>
      <c r="D177" t="s">
        <v>29</v>
      </c>
      <c r="E177" t="s">
        <v>161</v>
      </c>
      <c r="F177">
        <v>94</v>
      </c>
      <c r="G177">
        <v>1239.1099999999999</v>
      </c>
      <c r="H177">
        <v>58.24</v>
      </c>
      <c r="I177" t="s">
        <v>74</v>
      </c>
      <c r="J177" t="s">
        <v>118</v>
      </c>
      <c r="L177" s="1">
        <v>45757</v>
      </c>
      <c r="M177" s="9">
        <f>Table11[[#This Row],[quantity]]*Table11[[#This Row],[price]]</f>
        <v>116476.34</v>
      </c>
    </row>
    <row r="178" spans="1:13" x14ac:dyDescent="0.3">
      <c r="A178" t="s">
        <v>844</v>
      </c>
      <c r="B178" t="s">
        <v>418</v>
      </c>
      <c r="C178" s="1">
        <v>45743.001388888893</v>
      </c>
      <c r="D178" t="s">
        <v>32</v>
      </c>
      <c r="E178" t="s">
        <v>166</v>
      </c>
      <c r="F178">
        <v>488</v>
      </c>
      <c r="G178">
        <v>2148.14</v>
      </c>
      <c r="H178">
        <v>524.15</v>
      </c>
      <c r="I178" t="s">
        <v>66</v>
      </c>
      <c r="J178" t="s">
        <v>133</v>
      </c>
      <c r="L178" s="1">
        <v>45708</v>
      </c>
      <c r="M178" s="9">
        <f>Table11[[#This Row],[quantity]]*Table11[[#This Row],[price]]</f>
        <v>1048292.32</v>
      </c>
    </row>
    <row r="179" spans="1:13" x14ac:dyDescent="0.3">
      <c r="A179" t="s">
        <v>845</v>
      </c>
      <c r="B179" t="s">
        <v>208</v>
      </c>
      <c r="C179" s="1">
        <v>45765.018055555563</v>
      </c>
      <c r="D179" t="s">
        <v>37</v>
      </c>
      <c r="E179" t="s">
        <v>166</v>
      </c>
      <c r="F179">
        <v>618</v>
      </c>
      <c r="G179">
        <v>257.04000000000002</v>
      </c>
      <c r="H179">
        <v>79.430000000000007</v>
      </c>
      <c r="I179" t="s">
        <v>110</v>
      </c>
      <c r="J179" t="s">
        <v>133</v>
      </c>
      <c r="L179" s="1">
        <v>45762</v>
      </c>
      <c r="M179" s="9">
        <f>Table11[[#This Row],[quantity]]*Table11[[#This Row],[price]]</f>
        <v>158850.72</v>
      </c>
    </row>
    <row r="180" spans="1:13" x14ac:dyDescent="0.3">
      <c r="A180" t="s">
        <v>846</v>
      </c>
      <c r="B180" t="s">
        <v>240</v>
      </c>
      <c r="C180" s="1">
        <v>45671.039583333331</v>
      </c>
      <c r="D180" t="s">
        <v>41</v>
      </c>
      <c r="E180" t="s">
        <v>166</v>
      </c>
      <c r="F180">
        <v>104</v>
      </c>
      <c r="G180">
        <v>495.01</v>
      </c>
      <c r="H180">
        <v>25.74</v>
      </c>
      <c r="I180" t="s">
        <v>70</v>
      </c>
      <c r="J180" t="s">
        <v>115</v>
      </c>
      <c r="L180" s="1">
        <v>45681</v>
      </c>
      <c r="M180" s="9">
        <f>Table11[[#This Row],[quantity]]*Table11[[#This Row],[price]]</f>
        <v>51481.04</v>
      </c>
    </row>
    <row r="181" spans="1:13" x14ac:dyDescent="0.3">
      <c r="A181" t="s">
        <v>847</v>
      </c>
      <c r="B181" t="s">
        <v>357</v>
      </c>
      <c r="C181" s="1">
        <v>45664.005555555559</v>
      </c>
      <c r="D181" t="s">
        <v>32</v>
      </c>
      <c r="E181" t="s">
        <v>166</v>
      </c>
      <c r="F181">
        <v>641</v>
      </c>
      <c r="G181">
        <v>1989.4</v>
      </c>
      <c r="H181">
        <v>637.6</v>
      </c>
      <c r="I181" t="s">
        <v>102</v>
      </c>
      <c r="J181" t="s">
        <v>142</v>
      </c>
      <c r="L181" s="1">
        <v>45751</v>
      </c>
      <c r="M181" s="9">
        <f>Table11[[#This Row],[quantity]]*Table11[[#This Row],[price]]</f>
        <v>1275205.4000000001</v>
      </c>
    </row>
    <row r="182" spans="1:13" x14ac:dyDescent="0.3">
      <c r="A182" t="s">
        <v>848</v>
      </c>
      <c r="B182" t="s">
        <v>517</v>
      </c>
      <c r="C182" s="1">
        <v>45792.034722222219</v>
      </c>
      <c r="D182" t="s">
        <v>35</v>
      </c>
      <c r="E182" t="s">
        <v>166</v>
      </c>
      <c r="F182">
        <v>202</v>
      </c>
      <c r="G182">
        <v>651.92999999999995</v>
      </c>
      <c r="H182">
        <v>65.84</v>
      </c>
      <c r="I182" t="s">
        <v>62</v>
      </c>
      <c r="J182" t="s">
        <v>127</v>
      </c>
      <c r="L182" s="1">
        <v>45784</v>
      </c>
      <c r="M182" s="9">
        <f>Table11[[#This Row],[quantity]]*Table11[[#This Row],[price]]</f>
        <v>131689.85999999999</v>
      </c>
    </row>
    <row r="183" spans="1:13" x14ac:dyDescent="0.3">
      <c r="A183" t="s">
        <v>849</v>
      </c>
      <c r="B183" t="s">
        <v>447</v>
      </c>
      <c r="C183" s="1">
        <v>45734.004861111112</v>
      </c>
      <c r="D183" t="s">
        <v>35</v>
      </c>
      <c r="E183" t="s">
        <v>161</v>
      </c>
      <c r="F183">
        <v>989</v>
      </c>
      <c r="G183">
        <v>633.01</v>
      </c>
      <c r="H183">
        <v>313.02</v>
      </c>
      <c r="I183" t="s">
        <v>98</v>
      </c>
      <c r="J183" t="s">
        <v>130</v>
      </c>
      <c r="L183" s="1">
        <v>45660</v>
      </c>
      <c r="M183" s="9">
        <f>Table11[[#This Row],[quantity]]*Table11[[#This Row],[price]]</f>
        <v>626046.89</v>
      </c>
    </row>
    <row r="184" spans="1:13" x14ac:dyDescent="0.3">
      <c r="A184" t="s">
        <v>850</v>
      </c>
      <c r="B184" t="s">
        <v>305</v>
      </c>
      <c r="C184" s="1">
        <v>45818.040277777778</v>
      </c>
      <c r="D184" t="s">
        <v>41</v>
      </c>
      <c r="E184" t="s">
        <v>161</v>
      </c>
      <c r="F184">
        <v>382</v>
      </c>
      <c r="G184">
        <v>617.54999999999995</v>
      </c>
      <c r="H184">
        <v>117.95</v>
      </c>
      <c r="I184" t="s">
        <v>100</v>
      </c>
      <c r="J184" t="s">
        <v>130</v>
      </c>
      <c r="L184" s="1">
        <v>45707</v>
      </c>
      <c r="M184" s="9">
        <f>Table11[[#This Row],[quantity]]*Table11[[#This Row],[price]]</f>
        <v>235904.09999999998</v>
      </c>
    </row>
    <row r="185" spans="1:13" x14ac:dyDescent="0.3">
      <c r="A185" t="s">
        <v>851</v>
      </c>
      <c r="B185" t="s">
        <v>177</v>
      </c>
      <c r="C185" s="1">
        <v>45715.013888888891</v>
      </c>
      <c r="D185" t="s">
        <v>43</v>
      </c>
      <c r="E185" t="s">
        <v>161</v>
      </c>
      <c r="F185">
        <v>51</v>
      </c>
      <c r="G185">
        <v>1030.5899999999999</v>
      </c>
      <c r="H185">
        <v>26.28</v>
      </c>
      <c r="I185" t="s">
        <v>108</v>
      </c>
      <c r="J185" t="s">
        <v>115</v>
      </c>
      <c r="L185" s="1">
        <v>45798</v>
      </c>
      <c r="M185" s="9">
        <f>Table11[[#This Row],[quantity]]*Table11[[#This Row],[price]]</f>
        <v>52560.09</v>
      </c>
    </row>
    <row r="186" spans="1:13" x14ac:dyDescent="0.3">
      <c r="A186" t="s">
        <v>852</v>
      </c>
      <c r="B186" t="s">
        <v>483</v>
      </c>
      <c r="C186" s="1">
        <v>45744.040972222218</v>
      </c>
      <c r="D186" t="s">
        <v>37</v>
      </c>
      <c r="E186" t="s">
        <v>166</v>
      </c>
      <c r="F186">
        <v>583</v>
      </c>
      <c r="G186">
        <v>244.47</v>
      </c>
      <c r="H186">
        <v>71.260000000000005</v>
      </c>
      <c r="I186" t="s">
        <v>104</v>
      </c>
      <c r="J186" t="s">
        <v>136</v>
      </c>
      <c r="L186" s="1">
        <v>45688</v>
      </c>
      <c r="M186" s="9">
        <f>Table11[[#This Row],[quantity]]*Table11[[#This Row],[price]]</f>
        <v>142526.01</v>
      </c>
    </row>
    <row r="187" spans="1:13" x14ac:dyDescent="0.3">
      <c r="A187" t="s">
        <v>853</v>
      </c>
      <c r="B187" t="s">
        <v>299</v>
      </c>
      <c r="C187" s="1">
        <v>45707.027083333327</v>
      </c>
      <c r="D187" t="s">
        <v>43</v>
      </c>
      <c r="E187" t="s">
        <v>166</v>
      </c>
      <c r="F187">
        <v>433</v>
      </c>
      <c r="G187">
        <v>1047.57</v>
      </c>
      <c r="H187">
        <v>226.8</v>
      </c>
      <c r="I187" t="s">
        <v>66</v>
      </c>
      <c r="J187" t="s">
        <v>121</v>
      </c>
      <c r="L187" s="1">
        <v>45755</v>
      </c>
      <c r="M187" s="9">
        <f>Table11[[#This Row],[quantity]]*Table11[[#This Row],[price]]</f>
        <v>453597.81</v>
      </c>
    </row>
    <row r="188" spans="1:13" x14ac:dyDescent="0.3">
      <c r="A188" t="s">
        <v>854</v>
      </c>
      <c r="B188" t="s">
        <v>464</v>
      </c>
      <c r="C188" s="1">
        <v>45698.001388888893</v>
      </c>
      <c r="D188" t="s">
        <v>41</v>
      </c>
      <c r="E188" t="s">
        <v>161</v>
      </c>
      <c r="F188">
        <v>978</v>
      </c>
      <c r="G188">
        <v>528.88</v>
      </c>
      <c r="H188">
        <v>258.62</v>
      </c>
      <c r="I188" t="s">
        <v>104</v>
      </c>
      <c r="J188" t="s">
        <v>127</v>
      </c>
      <c r="L188" s="1">
        <v>45757</v>
      </c>
      <c r="M188" s="9">
        <f>Table11[[#This Row],[quantity]]*Table11[[#This Row],[price]]</f>
        <v>517244.64</v>
      </c>
    </row>
    <row r="189" spans="1:13" x14ac:dyDescent="0.3">
      <c r="A189" t="s">
        <v>855</v>
      </c>
      <c r="B189" t="s">
        <v>537</v>
      </c>
      <c r="C189" s="1">
        <v>45699.038194444453</v>
      </c>
      <c r="D189" t="s">
        <v>35</v>
      </c>
      <c r="E189" t="s">
        <v>161</v>
      </c>
      <c r="F189">
        <v>353</v>
      </c>
      <c r="G189">
        <v>617.36</v>
      </c>
      <c r="H189">
        <v>108.96</v>
      </c>
      <c r="I189" t="s">
        <v>54</v>
      </c>
      <c r="J189" t="s">
        <v>130</v>
      </c>
      <c r="L189" s="1">
        <v>45736</v>
      </c>
      <c r="M189" s="9">
        <f>Table11[[#This Row],[quantity]]*Table11[[#This Row],[price]]</f>
        <v>217928.08000000002</v>
      </c>
    </row>
    <row r="190" spans="1:13" x14ac:dyDescent="0.3">
      <c r="A190" t="s">
        <v>856</v>
      </c>
      <c r="B190" t="s">
        <v>488</v>
      </c>
      <c r="C190" s="1">
        <v>45694.038194444453</v>
      </c>
      <c r="D190" t="s">
        <v>29</v>
      </c>
      <c r="E190" t="s">
        <v>161</v>
      </c>
      <c r="F190">
        <v>220</v>
      </c>
      <c r="G190">
        <v>1200.0999999999999</v>
      </c>
      <c r="H190">
        <v>132.01</v>
      </c>
      <c r="I190" t="s">
        <v>98</v>
      </c>
      <c r="J190" t="s">
        <v>130</v>
      </c>
      <c r="L190" s="1">
        <v>45764</v>
      </c>
      <c r="M190" s="9">
        <f>Table11[[#This Row],[quantity]]*Table11[[#This Row],[price]]</f>
        <v>264022</v>
      </c>
    </row>
    <row r="191" spans="1:13" x14ac:dyDescent="0.3">
      <c r="A191" t="s">
        <v>857</v>
      </c>
      <c r="B191" t="s">
        <v>256</v>
      </c>
      <c r="C191" s="1">
        <v>45740</v>
      </c>
      <c r="D191" t="s">
        <v>35</v>
      </c>
      <c r="E191" t="s">
        <v>161</v>
      </c>
      <c r="F191">
        <v>105</v>
      </c>
      <c r="G191">
        <v>628.9</v>
      </c>
      <c r="H191">
        <v>33.020000000000003</v>
      </c>
      <c r="I191" t="s">
        <v>90</v>
      </c>
      <c r="J191" t="s">
        <v>130</v>
      </c>
      <c r="L191" s="1">
        <v>45734</v>
      </c>
      <c r="M191" s="9">
        <f>Table11[[#This Row],[quantity]]*Table11[[#This Row],[price]]</f>
        <v>66034.5</v>
      </c>
    </row>
    <row r="192" spans="1:13" x14ac:dyDescent="0.3">
      <c r="A192" t="s">
        <v>858</v>
      </c>
      <c r="B192" t="s">
        <v>270</v>
      </c>
      <c r="C192" s="1">
        <v>45694.01666666667</v>
      </c>
      <c r="D192" t="s">
        <v>27</v>
      </c>
      <c r="E192" t="s">
        <v>166</v>
      </c>
      <c r="F192">
        <v>741</v>
      </c>
      <c r="G192">
        <v>748.47</v>
      </c>
      <c r="H192">
        <v>277.31</v>
      </c>
      <c r="I192" t="s">
        <v>62</v>
      </c>
      <c r="J192" t="s">
        <v>133</v>
      </c>
      <c r="L192" s="1">
        <v>45700</v>
      </c>
      <c r="M192" s="9">
        <f>Table11[[#This Row],[quantity]]*Table11[[#This Row],[price]]</f>
        <v>554616.27</v>
      </c>
    </row>
    <row r="193" spans="1:13" x14ac:dyDescent="0.3">
      <c r="A193" t="s">
        <v>859</v>
      </c>
      <c r="B193" t="s">
        <v>433</v>
      </c>
      <c r="C193" s="1">
        <v>45709.026388888888</v>
      </c>
      <c r="D193" t="s">
        <v>27</v>
      </c>
      <c r="E193" t="s">
        <v>161</v>
      </c>
      <c r="F193">
        <v>964</v>
      </c>
      <c r="G193">
        <v>793.06</v>
      </c>
      <c r="H193">
        <v>382.25</v>
      </c>
      <c r="I193" t="s">
        <v>92</v>
      </c>
      <c r="J193" t="s">
        <v>130</v>
      </c>
      <c r="L193" s="1">
        <v>45807</v>
      </c>
      <c r="M193" s="9">
        <f>Table11[[#This Row],[quantity]]*Table11[[#This Row],[price]]</f>
        <v>764509.84</v>
      </c>
    </row>
    <row r="194" spans="1:13" x14ac:dyDescent="0.3">
      <c r="A194" t="s">
        <v>860</v>
      </c>
      <c r="B194" t="s">
        <v>508</v>
      </c>
      <c r="C194" s="1">
        <v>45706.036805555559</v>
      </c>
      <c r="D194" t="s">
        <v>35</v>
      </c>
      <c r="E194" t="s">
        <v>166</v>
      </c>
      <c r="F194">
        <v>603</v>
      </c>
      <c r="G194">
        <v>642.07000000000005</v>
      </c>
      <c r="H194">
        <v>193.58</v>
      </c>
      <c r="I194" t="s">
        <v>94</v>
      </c>
      <c r="J194" t="s">
        <v>118</v>
      </c>
      <c r="L194" s="1">
        <v>45792</v>
      </c>
      <c r="M194" s="9">
        <f>Table11[[#This Row],[quantity]]*Table11[[#This Row],[price]]</f>
        <v>387168.21</v>
      </c>
    </row>
    <row r="195" spans="1:13" x14ac:dyDescent="0.3">
      <c r="A195" t="s">
        <v>861</v>
      </c>
      <c r="B195" t="s">
        <v>376</v>
      </c>
      <c r="C195" s="1">
        <v>45688.035416666673</v>
      </c>
      <c r="D195" t="s">
        <v>32</v>
      </c>
      <c r="E195" t="s">
        <v>161</v>
      </c>
      <c r="F195">
        <v>825</v>
      </c>
      <c r="G195">
        <v>2094.4899999999998</v>
      </c>
      <c r="H195">
        <v>863.98</v>
      </c>
      <c r="I195" t="s">
        <v>74</v>
      </c>
      <c r="J195" t="s">
        <v>115</v>
      </c>
      <c r="L195" s="1">
        <v>45670</v>
      </c>
      <c r="M195" s="9">
        <f>Table11[[#This Row],[quantity]]*Table11[[#This Row],[price]]</f>
        <v>1727954.2499999998</v>
      </c>
    </row>
    <row r="196" spans="1:13" x14ac:dyDescent="0.3">
      <c r="A196" t="s">
        <v>862</v>
      </c>
      <c r="B196" t="s">
        <v>565</v>
      </c>
      <c r="C196" s="1">
        <v>45790.035416666673</v>
      </c>
      <c r="D196" t="s">
        <v>29</v>
      </c>
      <c r="E196" t="s">
        <v>166</v>
      </c>
      <c r="F196">
        <v>149</v>
      </c>
      <c r="G196">
        <v>1233.9100000000001</v>
      </c>
      <c r="H196">
        <v>91.93</v>
      </c>
      <c r="I196" t="s">
        <v>62</v>
      </c>
      <c r="J196" t="s">
        <v>127</v>
      </c>
      <c r="L196" s="1">
        <v>45673</v>
      </c>
      <c r="M196" s="9">
        <f>Table11[[#This Row],[quantity]]*Table11[[#This Row],[price]]</f>
        <v>183852.59000000003</v>
      </c>
    </row>
    <row r="197" spans="1:13" x14ac:dyDescent="0.3">
      <c r="A197" t="s">
        <v>863</v>
      </c>
      <c r="B197" t="s">
        <v>578</v>
      </c>
      <c r="C197" s="1">
        <v>45761.006249999999</v>
      </c>
      <c r="D197" t="s">
        <v>27</v>
      </c>
      <c r="E197" t="s">
        <v>166</v>
      </c>
      <c r="F197">
        <v>472</v>
      </c>
      <c r="G197">
        <v>821.15</v>
      </c>
      <c r="H197">
        <v>193.79</v>
      </c>
      <c r="I197" t="s">
        <v>100</v>
      </c>
      <c r="J197" t="s">
        <v>115</v>
      </c>
      <c r="L197" s="1">
        <v>45726</v>
      </c>
      <c r="M197" s="9">
        <f>Table11[[#This Row],[quantity]]*Table11[[#This Row],[price]]</f>
        <v>387582.8</v>
      </c>
    </row>
    <row r="198" spans="1:13" x14ac:dyDescent="0.3">
      <c r="A198" t="s">
        <v>864</v>
      </c>
      <c r="B198" t="s">
        <v>371</v>
      </c>
      <c r="C198" s="1">
        <v>45714.022916666669</v>
      </c>
      <c r="D198" t="s">
        <v>37</v>
      </c>
      <c r="E198" t="s">
        <v>161</v>
      </c>
      <c r="F198">
        <v>488</v>
      </c>
      <c r="G198">
        <v>234.07</v>
      </c>
      <c r="H198">
        <v>57.11</v>
      </c>
      <c r="I198" t="s">
        <v>98</v>
      </c>
      <c r="J198" t="s">
        <v>136</v>
      </c>
      <c r="L198" s="1">
        <v>45723</v>
      </c>
      <c r="M198" s="9">
        <f>Table11[[#This Row],[quantity]]*Table11[[#This Row],[price]]</f>
        <v>114226.16</v>
      </c>
    </row>
    <row r="199" spans="1:13" x14ac:dyDescent="0.3">
      <c r="A199" t="s">
        <v>865</v>
      </c>
      <c r="B199" t="s">
        <v>555</v>
      </c>
      <c r="C199" s="1">
        <v>45833.020833333343</v>
      </c>
      <c r="D199" t="s">
        <v>32</v>
      </c>
      <c r="E199" t="s">
        <v>161</v>
      </c>
      <c r="F199">
        <v>427</v>
      </c>
      <c r="G199">
        <v>2204.0500000000002</v>
      </c>
      <c r="H199">
        <v>470.56</v>
      </c>
      <c r="I199" t="s">
        <v>54</v>
      </c>
      <c r="J199" t="s">
        <v>118</v>
      </c>
      <c r="L199" s="1">
        <v>45819</v>
      </c>
      <c r="M199" s="9">
        <f>Table11[[#This Row],[quantity]]*Table11[[#This Row],[price]]</f>
        <v>941129.35000000009</v>
      </c>
    </row>
    <row r="200" spans="1:13" x14ac:dyDescent="0.3">
      <c r="A200" t="s">
        <v>866</v>
      </c>
      <c r="B200" t="s">
        <v>611</v>
      </c>
      <c r="C200" s="1">
        <v>45660.032638888893</v>
      </c>
      <c r="D200" t="s">
        <v>43</v>
      </c>
      <c r="E200" t="s">
        <v>166</v>
      </c>
      <c r="F200">
        <v>223</v>
      </c>
      <c r="G200">
        <v>991.56</v>
      </c>
      <c r="H200">
        <v>110.56</v>
      </c>
      <c r="I200" t="s">
        <v>64</v>
      </c>
      <c r="J200" t="s">
        <v>139</v>
      </c>
      <c r="L200" s="1">
        <v>45740</v>
      </c>
      <c r="M200" s="9">
        <f>Table11[[#This Row],[quantity]]*Table11[[#This Row],[price]]</f>
        <v>221117.87999999998</v>
      </c>
    </row>
    <row r="201" spans="1:13" x14ac:dyDescent="0.3">
      <c r="A201" t="s">
        <v>867</v>
      </c>
      <c r="B201" t="s">
        <v>638</v>
      </c>
      <c r="C201" s="1">
        <v>45749.040972222218</v>
      </c>
      <c r="D201" t="s">
        <v>41</v>
      </c>
      <c r="E201" t="s">
        <v>161</v>
      </c>
      <c r="F201">
        <v>13</v>
      </c>
      <c r="G201">
        <v>582.12</v>
      </c>
      <c r="H201">
        <v>3.78</v>
      </c>
      <c r="I201" t="s">
        <v>51</v>
      </c>
      <c r="J201" t="s">
        <v>115</v>
      </c>
      <c r="L201" s="1">
        <v>45727</v>
      </c>
      <c r="M201" s="9">
        <f>Table11[[#This Row],[quantity]]*Table11[[#This Row],[price]]</f>
        <v>7567.56</v>
      </c>
    </row>
    <row r="202" spans="1:13" x14ac:dyDescent="0.3">
      <c r="A202" t="s">
        <v>868</v>
      </c>
      <c r="B202" t="s">
        <v>247</v>
      </c>
      <c r="C202" s="1">
        <v>45686.036111111112</v>
      </c>
      <c r="D202" t="s">
        <v>37</v>
      </c>
      <c r="E202" t="s">
        <v>161</v>
      </c>
      <c r="F202">
        <v>545</v>
      </c>
      <c r="G202">
        <v>235.89</v>
      </c>
      <c r="H202">
        <v>64.28</v>
      </c>
      <c r="I202" t="s">
        <v>88</v>
      </c>
      <c r="J202" t="s">
        <v>139</v>
      </c>
      <c r="L202" s="1">
        <v>45797</v>
      </c>
      <c r="M202" s="9">
        <f>Table11[[#This Row],[quantity]]*Table11[[#This Row],[price]]</f>
        <v>128560.04999999999</v>
      </c>
    </row>
    <row r="203" spans="1:13" x14ac:dyDescent="0.3">
      <c r="A203" t="s">
        <v>869</v>
      </c>
      <c r="B203" t="s">
        <v>609</v>
      </c>
      <c r="C203" s="1">
        <v>45721.017361111109</v>
      </c>
      <c r="D203" t="s">
        <v>41</v>
      </c>
      <c r="E203" t="s">
        <v>161</v>
      </c>
      <c r="F203">
        <v>855</v>
      </c>
      <c r="G203">
        <v>570.41999999999996</v>
      </c>
      <c r="H203">
        <v>243.85</v>
      </c>
      <c r="I203" t="s">
        <v>80</v>
      </c>
      <c r="J203" t="s">
        <v>115</v>
      </c>
      <c r="L203" s="1">
        <v>45784</v>
      </c>
      <c r="M203" s="9">
        <f>Table11[[#This Row],[quantity]]*Table11[[#This Row],[price]]</f>
        <v>487709.1</v>
      </c>
    </row>
    <row r="204" spans="1:13" x14ac:dyDescent="0.3">
      <c r="A204" t="s">
        <v>870</v>
      </c>
      <c r="B204" t="s">
        <v>614</v>
      </c>
      <c r="C204" s="1">
        <v>45770.038194444453</v>
      </c>
      <c r="D204" t="s">
        <v>29</v>
      </c>
      <c r="E204" t="s">
        <v>161</v>
      </c>
      <c r="F204">
        <v>779</v>
      </c>
      <c r="G204">
        <v>1215.1400000000001</v>
      </c>
      <c r="H204">
        <v>473.3</v>
      </c>
      <c r="I204" t="s">
        <v>54</v>
      </c>
      <c r="J204" t="s">
        <v>127</v>
      </c>
      <c r="L204" s="1">
        <v>45680</v>
      </c>
      <c r="M204" s="9">
        <f>Table11[[#This Row],[quantity]]*Table11[[#This Row],[price]]</f>
        <v>946594.06</v>
      </c>
    </row>
    <row r="205" spans="1:13" x14ac:dyDescent="0.3">
      <c r="A205" t="s">
        <v>871</v>
      </c>
      <c r="B205" t="s">
        <v>511</v>
      </c>
      <c r="C205" s="1">
        <v>45806.032638888893</v>
      </c>
      <c r="D205" t="s">
        <v>37</v>
      </c>
      <c r="E205" t="s">
        <v>161</v>
      </c>
      <c r="F205">
        <v>448</v>
      </c>
      <c r="G205">
        <v>256.73</v>
      </c>
      <c r="H205">
        <v>57.51</v>
      </c>
      <c r="I205" t="s">
        <v>96</v>
      </c>
      <c r="J205" t="s">
        <v>139</v>
      </c>
      <c r="L205" s="1">
        <v>45722</v>
      </c>
      <c r="M205" s="9">
        <f>Table11[[#This Row],[quantity]]*Table11[[#This Row],[price]]</f>
        <v>115015.04000000001</v>
      </c>
    </row>
    <row r="206" spans="1:13" x14ac:dyDescent="0.3">
      <c r="A206" t="s">
        <v>872</v>
      </c>
      <c r="B206" t="s">
        <v>431</v>
      </c>
      <c r="C206" s="1">
        <v>45800.004861111112</v>
      </c>
      <c r="D206" t="s">
        <v>41</v>
      </c>
      <c r="E206" t="s">
        <v>161</v>
      </c>
      <c r="F206">
        <v>560</v>
      </c>
      <c r="G206">
        <v>602.85</v>
      </c>
      <c r="H206">
        <v>168.8</v>
      </c>
      <c r="I206" t="s">
        <v>96</v>
      </c>
      <c r="J206" t="s">
        <v>127</v>
      </c>
      <c r="L206" s="1">
        <v>45819</v>
      </c>
      <c r="M206" s="9">
        <f>Table11[[#This Row],[quantity]]*Table11[[#This Row],[price]]</f>
        <v>337596</v>
      </c>
    </row>
    <row r="207" spans="1:13" x14ac:dyDescent="0.3">
      <c r="A207" t="s">
        <v>873</v>
      </c>
      <c r="B207" t="s">
        <v>187</v>
      </c>
      <c r="C207" s="1">
        <v>45664.038888888892</v>
      </c>
      <c r="D207" t="s">
        <v>39</v>
      </c>
      <c r="E207" t="s">
        <v>166</v>
      </c>
      <c r="F207">
        <v>739</v>
      </c>
      <c r="G207">
        <v>239.25</v>
      </c>
      <c r="H207">
        <v>88.4</v>
      </c>
      <c r="I207" t="s">
        <v>78</v>
      </c>
      <c r="J207" t="s">
        <v>118</v>
      </c>
      <c r="L207" s="1">
        <v>45707</v>
      </c>
      <c r="M207" s="9">
        <f>Table11[[#This Row],[quantity]]*Table11[[#This Row],[price]]</f>
        <v>176805.75</v>
      </c>
    </row>
    <row r="208" spans="1:13" x14ac:dyDescent="0.3">
      <c r="A208" t="s">
        <v>874</v>
      </c>
      <c r="B208" t="s">
        <v>454</v>
      </c>
      <c r="C208" s="1">
        <v>45700.029861111107</v>
      </c>
      <c r="D208" t="s">
        <v>43</v>
      </c>
      <c r="E208" t="s">
        <v>166</v>
      </c>
      <c r="F208">
        <v>596</v>
      </c>
      <c r="G208">
        <v>1004.33</v>
      </c>
      <c r="H208">
        <v>299.29000000000002</v>
      </c>
      <c r="I208" t="s">
        <v>70</v>
      </c>
      <c r="J208" t="s">
        <v>142</v>
      </c>
      <c r="L208" s="1">
        <v>45730</v>
      </c>
      <c r="M208" s="9">
        <f>Table11[[#This Row],[quantity]]*Table11[[#This Row],[price]]</f>
        <v>598580.68000000005</v>
      </c>
    </row>
    <row r="209" spans="1:13" x14ac:dyDescent="0.3">
      <c r="A209" t="s">
        <v>875</v>
      </c>
      <c r="B209" t="s">
        <v>486</v>
      </c>
      <c r="C209" s="1">
        <v>45712.020138888889</v>
      </c>
      <c r="D209" t="s">
        <v>37</v>
      </c>
      <c r="E209" t="s">
        <v>166</v>
      </c>
      <c r="F209">
        <v>666</v>
      </c>
      <c r="G209">
        <v>230.82</v>
      </c>
      <c r="H209">
        <v>76.86</v>
      </c>
      <c r="I209" t="s">
        <v>66</v>
      </c>
      <c r="J209" t="s">
        <v>124</v>
      </c>
      <c r="L209" s="1">
        <v>45705</v>
      </c>
      <c r="M209" s="9">
        <f>Table11[[#This Row],[quantity]]*Table11[[#This Row],[price]]</f>
        <v>153726.12</v>
      </c>
    </row>
    <row r="210" spans="1:13" x14ac:dyDescent="0.3">
      <c r="A210" t="s">
        <v>876</v>
      </c>
      <c r="B210" t="s">
        <v>303</v>
      </c>
      <c r="C210" s="1">
        <v>45755.027083333327</v>
      </c>
      <c r="D210" t="s">
        <v>27</v>
      </c>
      <c r="E210" t="s">
        <v>161</v>
      </c>
      <c r="F210">
        <v>175</v>
      </c>
      <c r="G210">
        <v>812.93</v>
      </c>
      <c r="H210">
        <v>71.13</v>
      </c>
      <c r="I210" t="s">
        <v>60</v>
      </c>
      <c r="J210" t="s">
        <v>136</v>
      </c>
      <c r="L210" s="1">
        <v>45737</v>
      </c>
      <c r="M210" s="9">
        <f>Table11[[#This Row],[quantity]]*Table11[[#This Row],[price]]</f>
        <v>142262.75</v>
      </c>
    </row>
    <row r="211" spans="1:13" x14ac:dyDescent="0.3">
      <c r="A211" t="s">
        <v>877</v>
      </c>
      <c r="B211" t="s">
        <v>508</v>
      </c>
      <c r="C211" s="1">
        <v>45729.023611111108</v>
      </c>
      <c r="D211" t="s">
        <v>29</v>
      </c>
      <c r="E211" t="s">
        <v>166</v>
      </c>
      <c r="F211">
        <v>298</v>
      </c>
      <c r="G211">
        <v>1336.02</v>
      </c>
      <c r="H211">
        <v>199.07</v>
      </c>
      <c r="I211" t="s">
        <v>70</v>
      </c>
      <c r="J211" t="s">
        <v>115</v>
      </c>
      <c r="L211" s="1">
        <v>45674</v>
      </c>
      <c r="M211" s="9">
        <f>Table11[[#This Row],[quantity]]*Table11[[#This Row],[price]]</f>
        <v>398133.96</v>
      </c>
    </row>
    <row r="212" spans="1:13" x14ac:dyDescent="0.3">
      <c r="A212" t="s">
        <v>878</v>
      </c>
      <c r="B212" t="s">
        <v>323</v>
      </c>
      <c r="C212" s="1">
        <v>45708.004861111112</v>
      </c>
      <c r="D212" t="s">
        <v>32</v>
      </c>
      <c r="E212" t="s">
        <v>161</v>
      </c>
      <c r="F212">
        <v>487</v>
      </c>
      <c r="G212">
        <v>2143.14</v>
      </c>
      <c r="H212">
        <v>521.85</v>
      </c>
      <c r="I212" t="s">
        <v>104</v>
      </c>
      <c r="J212" t="s">
        <v>121</v>
      </c>
      <c r="L212" s="1">
        <v>45771</v>
      </c>
      <c r="M212" s="9">
        <f>Table11[[#This Row],[quantity]]*Table11[[#This Row],[price]]</f>
        <v>1043709.1799999999</v>
      </c>
    </row>
    <row r="213" spans="1:13" x14ac:dyDescent="0.3">
      <c r="A213" t="s">
        <v>879</v>
      </c>
      <c r="B213" t="s">
        <v>184</v>
      </c>
      <c r="C213" s="1">
        <v>45679.027777777781</v>
      </c>
      <c r="D213" t="s">
        <v>37</v>
      </c>
      <c r="E213" t="s">
        <v>161</v>
      </c>
      <c r="F213">
        <v>831</v>
      </c>
      <c r="G213">
        <v>236.81</v>
      </c>
      <c r="H213">
        <v>98.39</v>
      </c>
      <c r="I213" t="s">
        <v>76</v>
      </c>
      <c r="J213" t="s">
        <v>139</v>
      </c>
      <c r="L213" s="1">
        <v>45721</v>
      </c>
      <c r="M213" s="9">
        <f>Table11[[#This Row],[quantity]]*Table11[[#This Row],[price]]</f>
        <v>196789.11000000002</v>
      </c>
    </row>
    <row r="214" spans="1:13" x14ac:dyDescent="0.3">
      <c r="A214" t="s">
        <v>880</v>
      </c>
      <c r="B214" t="s">
        <v>373</v>
      </c>
      <c r="C214" s="1">
        <v>45740.029166666667</v>
      </c>
      <c r="D214" t="s">
        <v>41</v>
      </c>
      <c r="E214" t="s">
        <v>166</v>
      </c>
      <c r="F214">
        <v>846</v>
      </c>
      <c r="G214">
        <v>584.11</v>
      </c>
      <c r="H214">
        <v>247.08</v>
      </c>
      <c r="I214" t="s">
        <v>110</v>
      </c>
      <c r="J214" t="s">
        <v>127</v>
      </c>
      <c r="L214" s="1">
        <v>45688</v>
      </c>
      <c r="M214" s="9">
        <f>Table11[[#This Row],[quantity]]*Table11[[#This Row],[price]]</f>
        <v>494157.06</v>
      </c>
    </row>
    <row r="215" spans="1:13" x14ac:dyDescent="0.3">
      <c r="A215" t="s">
        <v>881</v>
      </c>
      <c r="B215" t="s">
        <v>548</v>
      </c>
      <c r="C215" s="1">
        <v>45835.036111111112</v>
      </c>
      <c r="D215" t="s">
        <v>39</v>
      </c>
      <c r="E215" t="s">
        <v>161</v>
      </c>
      <c r="F215">
        <v>528</v>
      </c>
      <c r="G215">
        <v>224.41</v>
      </c>
      <c r="H215">
        <v>59.24</v>
      </c>
      <c r="I215" t="s">
        <v>86</v>
      </c>
      <c r="J215" t="s">
        <v>130</v>
      </c>
      <c r="L215" s="1">
        <v>45666</v>
      </c>
      <c r="M215" s="9">
        <f>Table11[[#This Row],[quantity]]*Table11[[#This Row],[price]]</f>
        <v>118488.48</v>
      </c>
    </row>
    <row r="216" spans="1:13" x14ac:dyDescent="0.3">
      <c r="A216" t="s">
        <v>882</v>
      </c>
      <c r="B216" t="s">
        <v>329</v>
      </c>
      <c r="C216" s="1">
        <v>45730.027083333327</v>
      </c>
      <c r="D216" t="s">
        <v>35</v>
      </c>
      <c r="E216" t="s">
        <v>166</v>
      </c>
      <c r="F216">
        <v>920</v>
      </c>
      <c r="G216">
        <v>644.04</v>
      </c>
      <c r="H216">
        <v>296.26</v>
      </c>
      <c r="I216" t="s">
        <v>82</v>
      </c>
      <c r="J216" t="s">
        <v>136</v>
      </c>
      <c r="L216" s="1">
        <v>45667</v>
      </c>
      <c r="M216" s="9">
        <f>Table11[[#This Row],[quantity]]*Table11[[#This Row],[price]]</f>
        <v>592516.79999999993</v>
      </c>
    </row>
    <row r="217" spans="1:13" x14ac:dyDescent="0.3">
      <c r="A217" t="s">
        <v>883</v>
      </c>
      <c r="B217" t="s">
        <v>333</v>
      </c>
      <c r="C217" s="1">
        <v>45663.02847222222</v>
      </c>
      <c r="D217" t="s">
        <v>35</v>
      </c>
      <c r="E217" t="s">
        <v>166</v>
      </c>
      <c r="F217">
        <v>903</v>
      </c>
      <c r="G217">
        <v>608.29</v>
      </c>
      <c r="H217">
        <v>274.64</v>
      </c>
      <c r="I217" t="s">
        <v>54</v>
      </c>
      <c r="J217" t="s">
        <v>115</v>
      </c>
      <c r="L217" s="1">
        <v>45715</v>
      </c>
      <c r="M217" s="9">
        <f>Table11[[#This Row],[quantity]]*Table11[[#This Row],[price]]</f>
        <v>549285.87</v>
      </c>
    </row>
    <row r="218" spans="1:13" x14ac:dyDescent="0.3">
      <c r="A218" t="s">
        <v>884</v>
      </c>
      <c r="B218" t="s">
        <v>233</v>
      </c>
      <c r="C218" s="1">
        <v>45686.022916666669</v>
      </c>
      <c r="D218" t="s">
        <v>39</v>
      </c>
      <c r="E218" t="s">
        <v>166</v>
      </c>
      <c r="F218">
        <v>560</v>
      </c>
      <c r="G218">
        <v>236.56</v>
      </c>
      <c r="H218">
        <v>66.239999999999995</v>
      </c>
      <c r="I218" t="s">
        <v>86</v>
      </c>
      <c r="J218" t="s">
        <v>121</v>
      </c>
      <c r="L218" s="1">
        <v>45692</v>
      </c>
      <c r="M218" s="9">
        <f>Table11[[#This Row],[quantity]]*Table11[[#This Row],[price]]</f>
        <v>132473.60000000001</v>
      </c>
    </row>
    <row r="219" spans="1:13" x14ac:dyDescent="0.3">
      <c r="A219" t="s">
        <v>885</v>
      </c>
      <c r="B219" t="s">
        <v>430</v>
      </c>
      <c r="C219" s="1">
        <v>45775.01458333333</v>
      </c>
      <c r="D219" t="s">
        <v>39</v>
      </c>
      <c r="E219" t="s">
        <v>166</v>
      </c>
      <c r="F219">
        <v>972</v>
      </c>
      <c r="G219">
        <v>244.94</v>
      </c>
      <c r="H219">
        <v>119.04</v>
      </c>
      <c r="I219" t="s">
        <v>66</v>
      </c>
      <c r="J219" t="s">
        <v>139</v>
      </c>
      <c r="L219" s="1">
        <v>45770</v>
      </c>
      <c r="M219" s="9">
        <f>Table11[[#This Row],[quantity]]*Table11[[#This Row],[price]]</f>
        <v>238081.68</v>
      </c>
    </row>
    <row r="220" spans="1:13" x14ac:dyDescent="0.3">
      <c r="A220" t="s">
        <v>886</v>
      </c>
      <c r="B220" t="s">
        <v>455</v>
      </c>
      <c r="C220" s="1">
        <v>45754.036805555559</v>
      </c>
      <c r="D220" t="s">
        <v>43</v>
      </c>
      <c r="E220" t="s">
        <v>166</v>
      </c>
      <c r="F220">
        <v>786</v>
      </c>
      <c r="G220">
        <v>1223.3599999999999</v>
      </c>
      <c r="H220">
        <v>480.78</v>
      </c>
      <c r="I220" t="s">
        <v>51</v>
      </c>
      <c r="J220" t="s">
        <v>142</v>
      </c>
      <c r="L220" s="1">
        <v>45716</v>
      </c>
      <c r="M220" s="9">
        <f>Table11[[#This Row],[quantity]]*Table11[[#This Row],[price]]</f>
        <v>961560.96</v>
      </c>
    </row>
    <row r="221" spans="1:13" x14ac:dyDescent="0.3">
      <c r="A221" t="s">
        <v>887</v>
      </c>
      <c r="B221" t="s">
        <v>516</v>
      </c>
      <c r="C221" s="1">
        <v>45726.011805555558</v>
      </c>
      <c r="D221" t="s">
        <v>32</v>
      </c>
      <c r="E221" t="s">
        <v>166</v>
      </c>
      <c r="F221">
        <v>504</v>
      </c>
      <c r="G221">
        <v>2219.63</v>
      </c>
      <c r="H221">
        <v>559.35</v>
      </c>
      <c r="I221" t="s">
        <v>74</v>
      </c>
      <c r="J221" t="s">
        <v>142</v>
      </c>
      <c r="L221" s="1">
        <v>45821</v>
      </c>
      <c r="M221" s="9">
        <f>Table11[[#This Row],[quantity]]*Table11[[#This Row],[price]]</f>
        <v>1118693.52</v>
      </c>
    </row>
    <row r="222" spans="1:13" x14ac:dyDescent="0.3">
      <c r="A222" t="s">
        <v>888</v>
      </c>
      <c r="B222" t="s">
        <v>600</v>
      </c>
      <c r="C222" s="1">
        <v>45783.010416666657</v>
      </c>
      <c r="D222" t="s">
        <v>35</v>
      </c>
      <c r="E222" t="s">
        <v>161</v>
      </c>
      <c r="F222">
        <v>239</v>
      </c>
      <c r="G222">
        <v>675.78</v>
      </c>
      <c r="H222">
        <v>80.760000000000005</v>
      </c>
      <c r="I222" t="s">
        <v>62</v>
      </c>
      <c r="J222" t="s">
        <v>121</v>
      </c>
      <c r="L222" s="1">
        <v>45833</v>
      </c>
      <c r="M222" s="9">
        <f>Table11[[#This Row],[quantity]]*Table11[[#This Row],[price]]</f>
        <v>161511.41999999998</v>
      </c>
    </row>
    <row r="223" spans="1:13" x14ac:dyDescent="0.3">
      <c r="A223" t="s">
        <v>889</v>
      </c>
      <c r="B223" t="s">
        <v>290</v>
      </c>
      <c r="C223" s="1">
        <v>45722.018055555563</v>
      </c>
      <c r="D223" t="s">
        <v>29</v>
      </c>
      <c r="E223" t="s">
        <v>161</v>
      </c>
      <c r="F223">
        <v>872</v>
      </c>
      <c r="G223">
        <v>1313.95</v>
      </c>
      <c r="H223">
        <v>572.88</v>
      </c>
      <c r="I223" t="s">
        <v>84</v>
      </c>
      <c r="J223" t="s">
        <v>124</v>
      </c>
      <c r="L223" s="1">
        <v>45838</v>
      </c>
      <c r="M223" s="9">
        <f>Table11[[#This Row],[quantity]]*Table11[[#This Row],[price]]</f>
        <v>1145764.4000000001</v>
      </c>
    </row>
    <row r="224" spans="1:13" x14ac:dyDescent="0.3">
      <c r="A224" t="s">
        <v>890</v>
      </c>
      <c r="B224" t="s">
        <v>246</v>
      </c>
      <c r="C224" s="1">
        <v>45783.009027777778</v>
      </c>
      <c r="D224" t="s">
        <v>39</v>
      </c>
      <c r="E224" t="s">
        <v>166</v>
      </c>
      <c r="F224">
        <v>707</v>
      </c>
      <c r="G224">
        <v>227.67</v>
      </c>
      <c r="H224">
        <v>80.48</v>
      </c>
      <c r="I224" t="s">
        <v>68</v>
      </c>
      <c r="J224" t="s">
        <v>142</v>
      </c>
      <c r="L224" s="1">
        <v>45679</v>
      </c>
      <c r="M224" s="9">
        <f>Table11[[#This Row],[quantity]]*Table11[[#This Row],[price]]</f>
        <v>160962.69</v>
      </c>
    </row>
    <row r="225" spans="1:13" x14ac:dyDescent="0.3">
      <c r="A225" t="s">
        <v>891</v>
      </c>
      <c r="B225" t="s">
        <v>389</v>
      </c>
      <c r="C225" s="1">
        <v>45818.025000000001</v>
      </c>
      <c r="D225" t="s">
        <v>35</v>
      </c>
      <c r="E225" t="s">
        <v>161</v>
      </c>
      <c r="F225">
        <v>968</v>
      </c>
      <c r="G225">
        <v>677.81</v>
      </c>
      <c r="H225">
        <v>328.06</v>
      </c>
      <c r="I225" t="s">
        <v>88</v>
      </c>
      <c r="J225" t="s">
        <v>127</v>
      </c>
      <c r="L225" s="1">
        <v>45803</v>
      </c>
      <c r="M225" s="9">
        <f>Table11[[#This Row],[quantity]]*Table11[[#This Row],[price]]</f>
        <v>656120.07999999996</v>
      </c>
    </row>
    <row r="226" spans="1:13" x14ac:dyDescent="0.3">
      <c r="A226" t="s">
        <v>892</v>
      </c>
      <c r="B226" t="s">
        <v>523</v>
      </c>
      <c r="C226" s="1">
        <v>45670.001388888893</v>
      </c>
      <c r="D226" t="s">
        <v>32</v>
      </c>
      <c r="E226" t="s">
        <v>161</v>
      </c>
      <c r="F226">
        <v>280</v>
      </c>
      <c r="G226">
        <v>1991.15</v>
      </c>
      <c r="H226">
        <v>278.76</v>
      </c>
      <c r="I226" t="s">
        <v>102</v>
      </c>
      <c r="J226" t="s">
        <v>121</v>
      </c>
      <c r="L226" s="1">
        <v>45701</v>
      </c>
      <c r="M226" s="9">
        <f>Table11[[#This Row],[quantity]]*Table11[[#This Row],[price]]</f>
        <v>557522</v>
      </c>
    </row>
    <row r="227" spans="1:13" x14ac:dyDescent="0.3">
      <c r="A227" t="s">
        <v>893</v>
      </c>
      <c r="B227" t="s">
        <v>412</v>
      </c>
      <c r="C227" s="1">
        <v>45756.01458333333</v>
      </c>
      <c r="D227" t="s">
        <v>32</v>
      </c>
      <c r="E227" t="s">
        <v>161</v>
      </c>
      <c r="F227">
        <v>416</v>
      </c>
      <c r="G227">
        <v>2150.89</v>
      </c>
      <c r="H227">
        <v>447.39</v>
      </c>
      <c r="I227" t="s">
        <v>98</v>
      </c>
      <c r="J227" t="s">
        <v>130</v>
      </c>
      <c r="L227" s="1">
        <v>45800</v>
      </c>
      <c r="M227" s="9">
        <f>Table11[[#This Row],[quantity]]*Table11[[#This Row],[price]]</f>
        <v>894770.24</v>
      </c>
    </row>
    <row r="228" spans="1:13" x14ac:dyDescent="0.3">
      <c r="A228" t="s">
        <v>894</v>
      </c>
      <c r="B228" t="s">
        <v>597</v>
      </c>
      <c r="C228" s="1">
        <v>45677.013194444437</v>
      </c>
      <c r="D228" t="s">
        <v>32</v>
      </c>
      <c r="E228" t="s">
        <v>166</v>
      </c>
      <c r="F228">
        <v>382</v>
      </c>
      <c r="G228">
        <v>2054.48</v>
      </c>
      <c r="H228">
        <v>392.41</v>
      </c>
      <c r="I228" t="s">
        <v>86</v>
      </c>
      <c r="J228" t="s">
        <v>139</v>
      </c>
      <c r="L228" s="1">
        <v>45818</v>
      </c>
      <c r="M228" s="9">
        <f>Table11[[#This Row],[quantity]]*Table11[[#This Row],[price]]</f>
        <v>784811.36</v>
      </c>
    </row>
    <row r="229" spans="1:13" x14ac:dyDescent="0.3">
      <c r="A229" t="s">
        <v>895</v>
      </c>
      <c r="B229" t="s">
        <v>621</v>
      </c>
      <c r="C229" s="1">
        <v>45757.001388888893</v>
      </c>
      <c r="D229" t="s">
        <v>39</v>
      </c>
      <c r="E229" t="s">
        <v>161</v>
      </c>
      <c r="F229">
        <v>736</v>
      </c>
      <c r="G229">
        <v>249.32</v>
      </c>
      <c r="H229">
        <v>91.75</v>
      </c>
      <c r="I229" t="s">
        <v>78</v>
      </c>
      <c r="J229" t="s">
        <v>133</v>
      </c>
      <c r="L229" s="1">
        <v>45714</v>
      </c>
      <c r="M229" s="9">
        <f>Table11[[#This Row],[quantity]]*Table11[[#This Row],[price]]</f>
        <v>183499.51999999999</v>
      </c>
    </row>
    <row r="230" spans="1:13" x14ac:dyDescent="0.3">
      <c r="A230" t="s">
        <v>896</v>
      </c>
      <c r="B230" t="s">
        <v>470</v>
      </c>
      <c r="C230" s="1">
        <v>45737.020138888889</v>
      </c>
      <c r="D230" t="s">
        <v>41</v>
      </c>
      <c r="E230" t="s">
        <v>161</v>
      </c>
      <c r="F230">
        <v>823</v>
      </c>
      <c r="G230">
        <v>584.17999999999995</v>
      </c>
      <c r="H230">
        <v>240.39</v>
      </c>
      <c r="I230" t="s">
        <v>110</v>
      </c>
      <c r="J230" t="s">
        <v>118</v>
      </c>
      <c r="L230" s="1">
        <v>45712</v>
      </c>
      <c r="M230" s="9">
        <f>Table11[[#This Row],[quantity]]*Table11[[#This Row],[price]]</f>
        <v>480780.13999999996</v>
      </c>
    </row>
    <row r="231" spans="1:13" x14ac:dyDescent="0.3">
      <c r="A231" t="s">
        <v>897</v>
      </c>
      <c r="B231" t="s">
        <v>658</v>
      </c>
      <c r="C231" s="1">
        <v>45832.032638888893</v>
      </c>
      <c r="D231" t="s">
        <v>43</v>
      </c>
      <c r="E231" t="s">
        <v>166</v>
      </c>
      <c r="F231">
        <v>76</v>
      </c>
      <c r="G231">
        <v>1382.74</v>
      </c>
      <c r="H231">
        <v>52.54</v>
      </c>
      <c r="I231" t="s">
        <v>106</v>
      </c>
      <c r="J231" t="s">
        <v>136</v>
      </c>
      <c r="L231" s="1">
        <v>45835</v>
      </c>
      <c r="M231" s="9">
        <f>Table11[[#This Row],[quantity]]*Table11[[#This Row],[price]]</f>
        <v>105088.24</v>
      </c>
    </row>
    <row r="232" spans="1:13" x14ac:dyDescent="0.3">
      <c r="A232" t="s">
        <v>898</v>
      </c>
      <c r="B232" t="s">
        <v>555</v>
      </c>
      <c r="C232" s="1">
        <v>45771.015277777777</v>
      </c>
      <c r="D232" t="s">
        <v>27</v>
      </c>
      <c r="E232" t="s">
        <v>161</v>
      </c>
      <c r="F232">
        <v>608</v>
      </c>
      <c r="G232">
        <v>810.6</v>
      </c>
      <c r="H232">
        <v>246.42</v>
      </c>
      <c r="I232" t="s">
        <v>102</v>
      </c>
      <c r="J232" t="s">
        <v>136</v>
      </c>
      <c r="L232" s="1">
        <v>45751</v>
      </c>
      <c r="M232" s="9">
        <f>Table11[[#This Row],[quantity]]*Table11[[#This Row],[price]]</f>
        <v>492844.79999999999</v>
      </c>
    </row>
    <row r="233" spans="1:13" x14ac:dyDescent="0.3">
      <c r="A233" t="s">
        <v>899</v>
      </c>
      <c r="B233" t="s">
        <v>183</v>
      </c>
      <c r="C233" s="1">
        <v>45838</v>
      </c>
      <c r="D233" t="s">
        <v>29</v>
      </c>
      <c r="E233" t="s">
        <v>161</v>
      </c>
      <c r="F233">
        <v>126</v>
      </c>
      <c r="G233">
        <v>1229.3699999999999</v>
      </c>
      <c r="H233">
        <v>77.45</v>
      </c>
      <c r="I233" t="s">
        <v>102</v>
      </c>
      <c r="J233" t="s">
        <v>115</v>
      </c>
      <c r="L233" s="1">
        <v>45807</v>
      </c>
      <c r="M233" s="9">
        <f>Table11[[#This Row],[quantity]]*Table11[[#This Row],[price]]</f>
        <v>154900.62</v>
      </c>
    </row>
    <row r="234" spans="1:13" x14ac:dyDescent="0.3">
      <c r="A234" t="s">
        <v>900</v>
      </c>
      <c r="B234" t="s">
        <v>580</v>
      </c>
      <c r="C234" s="1">
        <v>45734.022222222222</v>
      </c>
      <c r="D234" t="s">
        <v>41</v>
      </c>
      <c r="E234" t="s">
        <v>161</v>
      </c>
      <c r="F234">
        <v>340</v>
      </c>
      <c r="G234">
        <v>585.70000000000005</v>
      </c>
      <c r="H234">
        <v>99.57</v>
      </c>
      <c r="I234" t="s">
        <v>110</v>
      </c>
      <c r="J234" t="s">
        <v>118</v>
      </c>
      <c r="L234" s="1">
        <v>45672</v>
      </c>
      <c r="M234" s="9">
        <f>Table11[[#This Row],[quantity]]*Table11[[#This Row],[price]]</f>
        <v>199138.00000000003</v>
      </c>
    </row>
    <row r="235" spans="1:13" x14ac:dyDescent="0.3">
      <c r="A235" t="s">
        <v>901</v>
      </c>
      <c r="B235" t="s">
        <v>320</v>
      </c>
      <c r="C235" s="1">
        <v>45706.040972222218</v>
      </c>
      <c r="D235" t="s">
        <v>39</v>
      </c>
      <c r="E235" t="s">
        <v>161</v>
      </c>
      <c r="F235">
        <v>545</v>
      </c>
      <c r="G235">
        <v>235.22</v>
      </c>
      <c r="H235">
        <v>64.099999999999994</v>
      </c>
      <c r="I235" t="s">
        <v>92</v>
      </c>
      <c r="J235" t="s">
        <v>115</v>
      </c>
      <c r="L235" s="1">
        <v>45700</v>
      </c>
      <c r="M235" s="9">
        <f>Table11[[#This Row],[quantity]]*Table11[[#This Row],[price]]</f>
        <v>128194.9</v>
      </c>
    </row>
    <row r="236" spans="1:13" x14ac:dyDescent="0.3">
      <c r="A236" t="s">
        <v>902</v>
      </c>
      <c r="B236" t="s">
        <v>300</v>
      </c>
      <c r="C236" s="1">
        <v>45678.004166666673</v>
      </c>
      <c r="D236" t="s">
        <v>41</v>
      </c>
      <c r="E236" t="s">
        <v>161</v>
      </c>
      <c r="F236">
        <v>770</v>
      </c>
      <c r="G236">
        <v>483.63</v>
      </c>
      <c r="H236">
        <v>186.2</v>
      </c>
      <c r="I236" t="s">
        <v>90</v>
      </c>
      <c r="J236" t="s">
        <v>118</v>
      </c>
      <c r="L236" s="1">
        <v>45832</v>
      </c>
      <c r="M236" s="9">
        <f>Table11[[#This Row],[quantity]]*Table11[[#This Row],[price]]</f>
        <v>372395.1</v>
      </c>
    </row>
    <row r="237" spans="1:13" x14ac:dyDescent="0.3">
      <c r="A237" t="s">
        <v>903</v>
      </c>
      <c r="B237" t="s">
        <v>260</v>
      </c>
      <c r="C237" s="1">
        <v>45762.004166666673</v>
      </c>
      <c r="D237" t="s">
        <v>43</v>
      </c>
      <c r="E237" t="s">
        <v>161</v>
      </c>
      <c r="F237">
        <v>987</v>
      </c>
      <c r="G237">
        <v>1315.26</v>
      </c>
      <c r="H237">
        <v>649.08000000000004</v>
      </c>
      <c r="I237" t="s">
        <v>84</v>
      </c>
      <c r="J237" t="s">
        <v>142</v>
      </c>
      <c r="L237" s="1">
        <v>45688</v>
      </c>
      <c r="M237" s="9">
        <f>Table11[[#This Row],[quantity]]*Table11[[#This Row],[price]]</f>
        <v>1298161.6199999999</v>
      </c>
    </row>
    <row r="238" spans="1:13" x14ac:dyDescent="0.3">
      <c r="A238" t="s">
        <v>904</v>
      </c>
      <c r="B238" t="s">
        <v>634</v>
      </c>
      <c r="C238" s="1">
        <v>45740.022222222222</v>
      </c>
      <c r="D238" t="s">
        <v>35</v>
      </c>
      <c r="E238" t="s">
        <v>161</v>
      </c>
      <c r="F238">
        <v>48</v>
      </c>
      <c r="G238">
        <v>628.62</v>
      </c>
      <c r="H238">
        <v>15.09</v>
      </c>
      <c r="I238" t="s">
        <v>57</v>
      </c>
      <c r="J238" t="s">
        <v>121</v>
      </c>
      <c r="L238" s="1">
        <v>45765</v>
      </c>
      <c r="M238" s="9">
        <f>Table11[[#This Row],[quantity]]*Table11[[#This Row],[price]]</f>
        <v>30173.760000000002</v>
      </c>
    </row>
    <row r="239" spans="1:13" x14ac:dyDescent="0.3">
      <c r="A239" t="s">
        <v>905</v>
      </c>
      <c r="B239" t="s">
        <v>420</v>
      </c>
      <c r="C239" s="1">
        <v>45685.03402777778</v>
      </c>
      <c r="D239" t="s">
        <v>39</v>
      </c>
      <c r="E239" t="s">
        <v>166</v>
      </c>
      <c r="F239">
        <v>507</v>
      </c>
      <c r="G239">
        <v>238.22</v>
      </c>
      <c r="H239">
        <v>60.39</v>
      </c>
      <c r="I239" t="s">
        <v>72</v>
      </c>
      <c r="J239" t="s">
        <v>115</v>
      </c>
      <c r="L239" s="1">
        <v>45702</v>
      </c>
      <c r="M239" s="9">
        <f>Table11[[#This Row],[quantity]]*Table11[[#This Row],[price]]</f>
        <v>120777.54</v>
      </c>
    </row>
    <row r="240" spans="1:13" x14ac:dyDescent="0.3">
      <c r="A240" t="s">
        <v>906</v>
      </c>
      <c r="B240" t="s">
        <v>588</v>
      </c>
      <c r="C240" s="1">
        <v>45699.031944444447</v>
      </c>
      <c r="D240" t="s">
        <v>39</v>
      </c>
      <c r="E240" t="s">
        <v>161</v>
      </c>
      <c r="F240">
        <v>319</v>
      </c>
      <c r="G240">
        <v>230.38</v>
      </c>
      <c r="H240">
        <v>36.75</v>
      </c>
      <c r="I240" t="s">
        <v>76</v>
      </c>
      <c r="J240" t="s">
        <v>118</v>
      </c>
      <c r="L240" s="1">
        <v>45835</v>
      </c>
      <c r="M240" s="9">
        <f>Table11[[#This Row],[quantity]]*Table11[[#This Row],[price]]</f>
        <v>73491.22</v>
      </c>
    </row>
    <row r="241" spans="1:13" x14ac:dyDescent="0.3">
      <c r="A241" t="s">
        <v>907</v>
      </c>
      <c r="B241" t="s">
        <v>351</v>
      </c>
      <c r="C241" s="1">
        <v>45806.03125</v>
      </c>
      <c r="D241" t="s">
        <v>35</v>
      </c>
      <c r="E241" t="s">
        <v>161</v>
      </c>
      <c r="F241">
        <v>118</v>
      </c>
      <c r="G241">
        <v>672.47</v>
      </c>
      <c r="H241">
        <v>39.68</v>
      </c>
      <c r="I241" t="s">
        <v>57</v>
      </c>
      <c r="J241" t="s">
        <v>124</v>
      </c>
      <c r="L241" s="1">
        <v>45764</v>
      </c>
      <c r="M241" s="9">
        <f>Table11[[#This Row],[quantity]]*Table11[[#This Row],[price]]</f>
        <v>79351.460000000006</v>
      </c>
    </row>
    <row r="242" spans="1:13" x14ac:dyDescent="0.3">
      <c r="A242" t="s">
        <v>908</v>
      </c>
      <c r="B242" t="s">
        <v>592</v>
      </c>
      <c r="C242" s="1">
        <v>45687.038194444453</v>
      </c>
      <c r="D242" t="s">
        <v>32</v>
      </c>
      <c r="E242" t="s">
        <v>161</v>
      </c>
      <c r="F242">
        <v>75</v>
      </c>
      <c r="G242">
        <v>2057.5300000000002</v>
      </c>
      <c r="H242">
        <v>77.16</v>
      </c>
      <c r="I242" t="s">
        <v>86</v>
      </c>
      <c r="J242" t="s">
        <v>115</v>
      </c>
      <c r="L242" s="1">
        <v>45686</v>
      </c>
      <c r="M242" s="9">
        <f>Table11[[#This Row],[quantity]]*Table11[[#This Row],[price]]</f>
        <v>154314.75000000003</v>
      </c>
    </row>
    <row r="243" spans="1:13" x14ac:dyDescent="0.3">
      <c r="A243" t="s">
        <v>909</v>
      </c>
      <c r="B243" t="s">
        <v>638</v>
      </c>
      <c r="C243" s="1">
        <v>45758.021527777782</v>
      </c>
      <c r="D243" t="s">
        <v>32</v>
      </c>
      <c r="E243" t="s">
        <v>161</v>
      </c>
      <c r="F243">
        <v>488</v>
      </c>
      <c r="G243">
        <v>2310.86</v>
      </c>
      <c r="H243">
        <v>563.85</v>
      </c>
      <c r="I243" t="s">
        <v>70</v>
      </c>
      <c r="J243" t="s">
        <v>115</v>
      </c>
      <c r="L243" s="1">
        <v>45805</v>
      </c>
      <c r="M243" s="9">
        <f>Table11[[#This Row],[quantity]]*Table11[[#This Row],[price]]</f>
        <v>1127699.6800000002</v>
      </c>
    </row>
    <row r="244" spans="1:13" x14ac:dyDescent="0.3">
      <c r="A244" t="s">
        <v>910</v>
      </c>
      <c r="B244" t="s">
        <v>592</v>
      </c>
      <c r="C244" s="1">
        <v>45740.009027777778</v>
      </c>
      <c r="D244" t="s">
        <v>41</v>
      </c>
      <c r="E244" t="s">
        <v>166</v>
      </c>
      <c r="F244">
        <v>874</v>
      </c>
      <c r="G244">
        <v>585.1</v>
      </c>
      <c r="H244">
        <v>255.69</v>
      </c>
      <c r="I244" t="s">
        <v>96</v>
      </c>
      <c r="J244" t="s">
        <v>142</v>
      </c>
      <c r="L244" s="1">
        <v>45695</v>
      </c>
      <c r="M244" s="9">
        <f>Table11[[#This Row],[quantity]]*Table11[[#This Row],[price]]</f>
        <v>511377.4</v>
      </c>
    </row>
    <row r="245" spans="1:13" x14ac:dyDescent="0.3">
      <c r="A245" t="s">
        <v>911</v>
      </c>
      <c r="B245" t="s">
        <v>579</v>
      </c>
      <c r="C245" s="1">
        <v>45698.015277777777</v>
      </c>
      <c r="D245" t="s">
        <v>35</v>
      </c>
      <c r="E245" t="s">
        <v>166</v>
      </c>
      <c r="F245">
        <v>400</v>
      </c>
      <c r="G245">
        <v>618.51</v>
      </c>
      <c r="H245">
        <v>123.7</v>
      </c>
      <c r="I245" t="s">
        <v>106</v>
      </c>
      <c r="J245" t="s">
        <v>130</v>
      </c>
      <c r="L245" s="1">
        <v>45824</v>
      </c>
      <c r="M245" s="9">
        <f>Table11[[#This Row],[quantity]]*Table11[[#This Row],[price]]</f>
        <v>247404</v>
      </c>
    </row>
    <row r="246" spans="1:13" x14ac:dyDescent="0.3">
      <c r="A246" t="s">
        <v>912</v>
      </c>
      <c r="B246" t="s">
        <v>534</v>
      </c>
      <c r="C246" s="1">
        <v>45805.020138888889</v>
      </c>
      <c r="D246" t="s">
        <v>37</v>
      </c>
      <c r="E246" t="s">
        <v>166</v>
      </c>
      <c r="F246">
        <v>41</v>
      </c>
      <c r="G246">
        <v>253.53</v>
      </c>
      <c r="H246">
        <v>5.2</v>
      </c>
      <c r="I246" t="s">
        <v>88</v>
      </c>
      <c r="J246" t="s">
        <v>130</v>
      </c>
      <c r="L246" s="1">
        <v>45756</v>
      </c>
      <c r="M246" s="9">
        <f>Table11[[#This Row],[quantity]]*Table11[[#This Row],[price]]</f>
        <v>10394.73</v>
      </c>
    </row>
    <row r="247" spans="1:13" x14ac:dyDescent="0.3">
      <c r="A247" t="s">
        <v>913</v>
      </c>
      <c r="B247" t="s">
        <v>442</v>
      </c>
      <c r="C247" s="1">
        <v>45698.006249999999</v>
      </c>
      <c r="D247" t="s">
        <v>32</v>
      </c>
      <c r="E247" t="s">
        <v>161</v>
      </c>
      <c r="F247">
        <v>902</v>
      </c>
      <c r="G247">
        <v>2247.54</v>
      </c>
      <c r="H247">
        <v>1013.64</v>
      </c>
      <c r="I247" t="s">
        <v>78</v>
      </c>
      <c r="J247" t="s">
        <v>127</v>
      </c>
      <c r="L247" s="1">
        <v>45798</v>
      </c>
      <c r="M247" s="9">
        <f>Table11[[#This Row],[quantity]]*Table11[[#This Row],[price]]</f>
        <v>2027281.08</v>
      </c>
    </row>
    <row r="248" spans="1:13" x14ac:dyDescent="0.3">
      <c r="A248" t="s">
        <v>914</v>
      </c>
      <c r="B248" t="s">
        <v>403</v>
      </c>
      <c r="C248" s="1">
        <v>45663.02847222222</v>
      </c>
      <c r="D248" t="s">
        <v>37</v>
      </c>
      <c r="E248" t="s">
        <v>166</v>
      </c>
      <c r="F248">
        <v>91</v>
      </c>
      <c r="G248">
        <v>232.36</v>
      </c>
      <c r="H248">
        <v>10.57</v>
      </c>
      <c r="I248" t="s">
        <v>110</v>
      </c>
      <c r="J248" t="s">
        <v>139</v>
      </c>
      <c r="L248" s="1">
        <v>45748</v>
      </c>
      <c r="M248" s="9">
        <f>Table11[[#This Row],[quantity]]*Table11[[#This Row],[price]]</f>
        <v>21144.760000000002</v>
      </c>
    </row>
    <row r="249" spans="1:13" x14ac:dyDescent="0.3">
      <c r="A249" t="s">
        <v>915</v>
      </c>
      <c r="B249" t="s">
        <v>461</v>
      </c>
      <c r="C249" s="1">
        <v>45805.020138888889</v>
      </c>
      <c r="D249" t="s">
        <v>27</v>
      </c>
      <c r="E249" t="s">
        <v>161</v>
      </c>
      <c r="F249">
        <v>329</v>
      </c>
      <c r="G249">
        <v>765.78</v>
      </c>
      <c r="H249">
        <v>125.97</v>
      </c>
      <c r="I249" t="s">
        <v>54</v>
      </c>
      <c r="J249" t="s">
        <v>124</v>
      </c>
      <c r="L249" s="1">
        <v>45687</v>
      </c>
      <c r="M249" s="9">
        <f>Table11[[#This Row],[quantity]]*Table11[[#This Row],[price]]</f>
        <v>251941.62</v>
      </c>
    </row>
    <row r="250" spans="1:13" x14ac:dyDescent="0.3">
      <c r="A250" t="s">
        <v>916</v>
      </c>
      <c r="B250" t="s">
        <v>662</v>
      </c>
      <c r="C250" s="1">
        <v>45737.017361111109</v>
      </c>
      <c r="D250" t="s">
        <v>27</v>
      </c>
      <c r="E250" t="s">
        <v>166</v>
      </c>
      <c r="F250">
        <v>121</v>
      </c>
      <c r="G250">
        <v>754.85</v>
      </c>
      <c r="H250">
        <v>45.67</v>
      </c>
      <c r="I250" t="s">
        <v>57</v>
      </c>
      <c r="J250" t="s">
        <v>115</v>
      </c>
      <c r="L250" s="1">
        <v>45677</v>
      </c>
      <c r="M250" s="9">
        <f>Table11[[#This Row],[quantity]]*Table11[[#This Row],[price]]</f>
        <v>91336.85</v>
      </c>
    </row>
    <row r="251" spans="1:13" x14ac:dyDescent="0.3">
      <c r="A251" t="s">
        <v>917</v>
      </c>
      <c r="B251" t="s">
        <v>415</v>
      </c>
      <c r="C251" s="1">
        <v>45754.040277777778</v>
      </c>
      <c r="D251" t="s">
        <v>32</v>
      </c>
      <c r="E251" t="s">
        <v>166</v>
      </c>
      <c r="F251">
        <v>936</v>
      </c>
      <c r="G251">
        <v>2196.27</v>
      </c>
      <c r="H251">
        <v>1027.8499999999999</v>
      </c>
      <c r="I251" t="s">
        <v>66</v>
      </c>
      <c r="J251" t="s">
        <v>118</v>
      </c>
      <c r="L251" s="1">
        <v>45755</v>
      </c>
      <c r="M251" s="9">
        <f>Table11[[#This Row],[quantity]]*Table11[[#This Row],[price]]</f>
        <v>2055708.72</v>
      </c>
    </row>
    <row r="252" spans="1:13" x14ac:dyDescent="0.3">
      <c r="A252" t="s">
        <v>918</v>
      </c>
      <c r="B252" t="s">
        <v>192</v>
      </c>
      <c r="C252" s="1">
        <v>45817.027777777781</v>
      </c>
      <c r="D252" t="s">
        <v>43</v>
      </c>
      <c r="E252" t="s">
        <v>161</v>
      </c>
      <c r="F252">
        <v>213</v>
      </c>
      <c r="G252">
        <v>1358.28</v>
      </c>
      <c r="H252">
        <v>144.66</v>
      </c>
      <c r="I252" t="s">
        <v>74</v>
      </c>
      <c r="J252" t="s">
        <v>121</v>
      </c>
      <c r="L252" s="1">
        <v>45728</v>
      </c>
      <c r="M252" s="9">
        <f>Table11[[#This Row],[quantity]]*Table11[[#This Row],[price]]</f>
        <v>289313.64</v>
      </c>
    </row>
    <row r="253" spans="1:13" x14ac:dyDescent="0.3">
      <c r="A253" t="s">
        <v>919</v>
      </c>
      <c r="B253" t="s">
        <v>372</v>
      </c>
      <c r="C253" s="1">
        <v>45751.002083333333</v>
      </c>
      <c r="D253" t="s">
        <v>32</v>
      </c>
      <c r="E253" t="s">
        <v>166</v>
      </c>
      <c r="F253">
        <v>546</v>
      </c>
      <c r="G253">
        <v>2246.29</v>
      </c>
      <c r="H253">
        <v>613.24</v>
      </c>
      <c r="I253" t="s">
        <v>66</v>
      </c>
      <c r="J253" t="s">
        <v>142</v>
      </c>
      <c r="L253" s="1">
        <v>45700</v>
      </c>
      <c r="M253" s="9">
        <f>Table11[[#This Row],[quantity]]*Table11[[#This Row],[price]]</f>
        <v>1226474.3400000001</v>
      </c>
    </row>
    <row r="254" spans="1:13" x14ac:dyDescent="0.3">
      <c r="A254" t="s">
        <v>920</v>
      </c>
      <c r="B254" t="s">
        <v>455</v>
      </c>
      <c r="C254" s="1">
        <v>45714.015972222223</v>
      </c>
      <c r="D254" t="s">
        <v>29</v>
      </c>
      <c r="E254" t="s">
        <v>166</v>
      </c>
      <c r="F254">
        <v>181</v>
      </c>
      <c r="G254">
        <v>1279.8499999999999</v>
      </c>
      <c r="H254">
        <v>115.83</v>
      </c>
      <c r="I254" t="s">
        <v>88</v>
      </c>
      <c r="J254" t="s">
        <v>136</v>
      </c>
      <c r="L254" s="1">
        <v>45685</v>
      </c>
      <c r="M254" s="9">
        <f>Table11[[#This Row],[quantity]]*Table11[[#This Row],[price]]</f>
        <v>231652.84999999998</v>
      </c>
    </row>
    <row r="255" spans="1:13" x14ac:dyDescent="0.3">
      <c r="A255" t="s">
        <v>921</v>
      </c>
      <c r="B255" t="s">
        <v>537</v>
      </c>
      <c r="C255" s="1">
        <v>45761.037499999999</v>
      </c>
      <c r="D255" t="s">
        <v>27</v>
      </c>
      <c r="E255" t="s">
        <v>166</v>
      </c>
      <c r="F255">
        <v>777</v>
      </c>
      <c r="G255">
        <v>821.42</v>
      </c>
      <c r="H255">
        <v>319.12</v>
      </c>
      <c r="I255" t="s">
        <v>51</v>
      </c>
      <c r="J255" t="s">
        <v>142</v>
      </c>
      <c r="L255" s="1">
        <v>45782</v>
      </c>
      <c r="M255" s="9">
        <f>Table11[[#This Row],[quantity]]*Table11[[#This Row],[price]]</f>
        <v>638243.34</v>
      </c>
    </row>
    <row r="256" spans="1:13" x14ac:dyDescent="0.3">
      <c r="A256" t="s">
        <v>922</v>
      </c>
      <c r="B256" t="s">
        <v>528</v>
      </c>
      <c r="C256" s="1">
        <v>45821.011805555558</v>
      </c>
      <c r="D256" t="s">
        <v>41</v>
      </c>
      <c r="E256" t="s">
        <v>161</v>
      </c>
      <c r="F256">
        <v>576</v>
      </c>
      <c r="G256">
        <v>612.74</v>
      </c>
      <c r="H256">
        <v>176.47</v>
      </c>
      <c r="I256" t="s">
        <v>88</v>
      </c>
      <c r="J256" t="s">
        <v>130</v>
      </c>
      <c r="L256" s="1">
        <v>45779</v>
      </c>
      <c r="M256" s="9">
        <f>Table11[[#This Row],[quantity]]*Table11[[#This Row],[price]]</f>
        <v>352938.23999999999</v>
      </c>
    </row>
    <row r="257" spans="1:13" x14ac:dyDescent="0.3">
      <c r="A257" t="s">
        <v>923</v>
      </c>
      <c r="B257" t="s">
        <v>556</v>
      </c>
      <c r="C257" s="1">
        <v>45672.022916666669</v>
      </c>
      <c r="D257" t="s">
        <v>43</v>
      </c>
      <c r="E257" t="s">
        <v>161</v>
      </c>
      <c r="F257">
        <v>880</v>
      </c>
      <c r="G257">
        <v>977.17</v>
      </c>
      <c r="H257">
        <v>429.95</v>
      </c>
      <c r="I257" t="s">
        <v>104</v>
      </c>
      <c r="J257" t="s">
        <v>139</v>
      </c>
      <c r="L257" s="1">
        <v>45814</v>
      </c>
      <c r="M257" s="9">
        <f>Table11[[#This Row],[quantity]]*Table11[[#This Row],[price]]</f>
        <v>859909.6</v>
      </c>
    </row>
    <row r="258" spans="1:13" x14ac:dyDescent="0.3">
      <c r="A258" t="s">
        <v>924</v>
      </c>
      <c r="B258" t="s">
        <v>346</v>
      </c>
      <c r="C258" s="1">
        <v>45687.039583333331</v>
      </c>
      <c r="D258" t="s">
        <v>27</v>
      </c>
      <c r="E258" t="s">
        <v>166</v>
      </c>
      <c r="F258">
        <v>702</v>
      </c>
      <c r="G258">
        <v>756.15</v>
      </c>
      <c r="H258">
        <v>265.41000000000003</v>
      </c>
      <c r="I258" t="s">
        <v>82</v>
      </c>
      <c r="J258" t="s">
        <v>118</v>
      </c>
      <c r="L258" s="1">
        <v>45701</v>
      </c>
      <c r="M258" s="9">
        <f>Table11[[#This Row],[quantity]]*Table11[[#This Row],[price]]</f>
        <v>530817.29999999993</v>
      </c>
    </row>
    <row r="259" spans="1:13" x14ac:dyDescent="0.3">
      <c r="A259" t="s">
        <v>925</v>
      </c>
      <c r="B259" t="s">
        <v>395</v>
      </c>
      <c r="C259" s="1">
        <v>45818.031944444447</v>
      </c>
      <c r="D259" t="s">
        <v>43</v>
      </c>
      <c r="E259" t="s">
        <v>161</v>
      </c>
      <c r="F259">
        <v>285</v>
      </c>
      <c r="G259">
        <v>1390.08</v>
      </c>
      <c r="H259">
        <v>198.09</v>
      </c>
      <c r="I259" t="s">
        <v>96</v>
      </c>
      <c r="J259" t="s">
        <v>124</v>
      </c>
      <c r="L259" s="1">
        <v>45820</v>
      </c>
      <c r="M259" s="9">
        <f>Table11[[#This Row],[quantity]]*Table11[[#This Row],[price]]</f>
        <v>396172.79999999999</v>
      </c>
    </row>
    <row r="260" spans="1:13" x14ac:dyDescent="0.3">
      <c r="A260" t="s">
        <v>926</v>
      </c>
      <c r="B260" t="s">
        <v>549</v>
      </c>
      <c r="C260" s="1">
        <v>45757.020138888889</v>
      </c>
      <c r="D260" t="s">
        <v>41</v>
      </c>
      <c r="E260" t="s">
        <v>161</v>
      </c>
      <c r="F260">
        <v>220</v>
      </c>
      <c r="G260">
        <v>581.24</v>
      </c>
      <c r="H260">
        <v>63.94</v>
      </c>
      <c r="I260" t="s">
        <v>68</v>
      </c>
      <c r="J260" t="s">
        <v>118</v>
      </c>
      <c r="L260" s="1">
        <v>45813</v>
      </c>
      <c r="M260" s="9">
        <f>Table11[[#This Row],[quantity]]*Table11[[#This Row],[price]]</f>
        <v>127872.8</v>
      </c>
    </row>
    <row r="261" spans="1:13" x14ac:dyDescent="0.3">
      <c r="A261" t="s">
        <v>927</v>
      </c>
      <c r="B261" t="s">
        <v>572</v>
      </c>
      <c r="C261" s="1">
        <v>45792.013194444437</v>
      </c>
      <c r="D261" t="s">
        <v>39</v>
      </c>
      <c r="E261" t="s">
        <v>161</v>
      </c>
      <c r="F261">
        <v>376</v>
      </c>
      <c r="G261">
        <v>231.88</v>
      </c>
      <c r="H261">
        <v>43.59</v>
      </c>
      <c r="I261" t="s">
        <v>66</v>
      </c>
      <c r="J261" t="s">
        <v>127</v>
      </c>
      <c r="L261" s="1">
        <v>45728</v>
      </c>
      <c r="M261" s="9">
        <f>Table11[[#This Row],[quantity]]*Table11[[#This Row],[price]]</f>
        <v>87186.880000000005</v>
      </c>
    </row>
    <row r="262" spans="1:13" x14ac:dyDescent="0.3">
      <c r="A262" t="s">
        <v>928</v>
      </c>
      <c r="B262" t="s">
        <v>372</v>
      </c>
      <c r="C262" s="1">
        <v>45820.011805555558</v>
      </c>
      <c r="D262" t="s">
        <v>32</v>
      </c>
      <c r="E262" t="s">
        <v>166</v>
      </c>
      <c r="F262">
        <v>974</v>
      </c>
      <c r="G262">
        <v>2132.7600000000002</v>
      </c>
      <c r="H262">
        <v>1038.6500000000001</v>
      </c>
      <c r="I262" t="s">
        <v>60</v>
      </c>
      <c r="J262" t="s">
        <v>133</v>
      </c>
      <c r="L262" s="1">
        <v>45727</v>
      </c>
      <c r="M262" s="9">
        <f>Table11[[#This Row],[quantity]]*Table11[[#This Row],[price]]</f>
        <v>2077308.2400000002</v>
      </c>
    </row>
    <row r="263" spans="1:13" x14ac:dyDescent="0.3">
      <c r="A263" t="s">
        <v>929</v>
      </c>
      <c r="B263" t="s">
        <v>236</v>
      </c>
      <c r="C263" s="1">
        <v>45681.027083333327</v>
      </c>
      <c r="D263" t="s">
        <v>29</v>
      </c>
      <c r="E263" t="s">
        <v>161</v>
      </c>
      <c r="F263">
        <v>763</v>
      </c>
      <c r="G263">
        <v>1244.49</v>
      </c>
      <c r="H263">
        <v>474.77</v>
      </c>
      <c r="I263" t="s">
        <v>48</v>
      </c>
      <c r="J263" t="s">
        <v>118</v>
      </c>
      <c r="L263" s="1">
        <v>45733</v>
      </c>
      <c r="M263" s="9">
        <f>Table11[[#This Row],[quantity]]*Table11[[#This Row],[price]]</f>
        <v>949545.87</v>
      </c>
    </row>
    <row r="264" spans="1:13" x14ac:dyDescent="0.3">
      <c r="A264" t="s">
        <v>930</v>
      </c>
      <c r="B264" t="s">
        <v>631</v>
      </c>
      <c r="C264" s="1">
        <v>45814.018750000003</v>
      </c>
      <c r="D264" t="s">
        <v>35</v>
      </c>
      <c r="E264" t="s">
        <v>166</v>
      </c>
      <c r="F264">
        <v>655</v>
      </c>
      <c r="G264">
        <v>664.52</v>
      </c>
      <c r="H264">
        <v>217.63</v>
      </c>
      <c r="I264" t="s">
        <v>62</v>
      </c>
      <c r="J264" t="s">
        <v>136</v>
      </c>
      <c r="L264" s="1">
        <v>45791</v>
      </c>
      <c r="M264" s="9">
        <f>Table11[[#This Row],[quantity]]*Table11[[#This Row],[price]]</f>
        <v>435260.6</v>
      </c>
    </row>
    <row r="265" spans="1:13" x14ac:dyDescent="0.3">
      <c r="A265" t="s">
        <v>931</v>
      </c>
      <c r="B265" t="s">
        <v>182</v>
      </c>
      <c r="C265" s="1">
        <v>45755.031944444447</v>
      </c>
      <c r="D265" t="s">
        <v>39</v>
      </c>
      <c r="E265" t="s">
        <v>161</v>
      </c>
      <c r="F265">
        <v>983</v>
      </c>
      <c r="G265">
        <v>237.82</v>
      </c>
      <c r="H265">
        <v>116.89</v>
      </c>
      <c r="I265" t="s">
        <v>102</v>
      </c>
      <c r="J265" t="s">
        <v>118</v>
      </c>
      <c r="L265" s="1">
        <v>45812</v>
      </c>
      <c r="M265" s="9">
        <f>Table11[[#This Row],[quantity]]*Table11[[#This Row],[price]]</f>
        <v>233777.06</v>
      </c>
    </row>
    <row r="266" spans="1:13" x14ac:dyDescent="0.3">
      <c r="A266" t="s">
        <v>932</v>
      </c>
      <c r="B266" t="s">
        <v>426</v>
      </c>
      <c r="C266" s="1">
        <v>45687.008333333331</v>
      </c>
      <c r="D266" t="s">
        <v>27</v>
      </c>
      <c r="E266" t="s">
        <v>161</v>
      </c>
      <c r="F266">
        <v>572</v>
      </c>
      <c r="G266">
        <v>756.57</v>
      </c>
      <c r="H266">
        <v>216.38</v>
      </c>
      <c r="I266" t="s">
        <v>60</v>
      </c>
      <c r="J266" t="s">
        <v>133</v>
      </c>
      <c r="L266" s="1">
        <v>45673</v>
      </c>
      <c r="M266" s="9">
        <f>Table11[[#This Row],[quantity]]*Table11[[#This Row],[price]]</f>
        <v>432758.04000000004</v>
      </c>
    </row>
    <row r="267" spans="1:13" x14ac:dyDescent="0.3">
      <c r="A267" t="s">
        <v>933</v>
      </c>
      <c r="B267" t="s">
        <v>460</v>
      </c>
      <c r="C267" s="1">
        <v>45670.01458333333</v>
      </c>
      <c r="D267" t="s">
        <v>32</v>
      </c>
      <c r="E267" t="s">
        <v>166</v>
      </c>
      <c r="F267">
        <v>88</v>
      </c>
      <c r="G267">
        <v>1994.02</v>
      </c>
      <c r="H267">
        <v>87.74</v>
      </c>
      <c r="I267" t="s">
        <v>104</v>
      </c>
      <c r="J267" t="s">
        <v>136</v>
      </c>
      <c r="L267" s="1">
        <v>45747</v>
      </c>
      <c r="M267" s="9">
        <f>Table11[[#This Row],[quantity]]*Table11[[#This Row],[price]]</f>
        <v>175473.76</v>
      </c>
    </row>
    <row r="268" spans="1:13" x14ac:dyDescent="0.3">
      <c r="A268" t="s">
        <v>934</v>
      </c>
      <c r="B268" t="s">
        <v>314</v>
      </c>
      <c r="C268" s="1">
        <v>45705.03125</v>
      </c>
      <c r="D268" t="s">
        <v>39</v>
      </c>
      <c r="E268" t="s">
        <v>166</v>
      </c>
      <c r="F268">
        <v>812</v>
      </c>
      <c r="G268">
        <v>232.48</v>
      </c>
      <c r="H268">
        <v>94.39</v>
      </c>
      <c r="I268" t="s">
        <v>106</v>
      </c>
      <c r="J268" t="s">
        <v>142</v>
      </c>
      <c r="L268" s="1">
        <v>45723</v>
      </c>
      <c r="M268" s="9">
        <f>Table11[[#This Row],[quantity]]*Table11[[#This Row],[price]]</f>
        <v>188773.75999999998</v>
      </c>
    </row>
    <row r="269" spans="1:13" x14ac:dyDescent="0.3">
      <c r="A269" t="s">
        <v>935</v>
      </c>
      <c r="B269" t="s">
        <v>536</v>
      </c>
      <c r="C269" s="1">
        <v>45800.03402777778</v>
      </c>
      <c r="D269" t="s">
        <v>37</v>
      </c>
      <c r="E269" t="s">
        <v>161</v>
      </c>
      <c r="F269">
        <v>338</v>
      </c>
      <c r="G269">
        <v>253.55</v>
      </c>
      <c r="H269">
        <v>42.85</v>
      </c>
      <c r="I269" t="s">
        <v>54</v>
      </c>
      <c r="J269" t="s">
        <v>139</v>
      </c>
      <c r="L269" s="1">
        <v>45685</v>
      </c>
      <c r="M269" s="9">
        <f>Table11[[#This Row],[quantity]]*Table11[[#This Row],[price]]</f>
        <v>85699.900000000009</v>
      </c>
    </row>
    <row r="270" spans="1:13" x14ac:dyDescent="0.3">
      <c r="A270" t="s">
        <v>936</v>
      </c>
      <c r="B270" t="s">
        <v>597</v>
      </c>
      <c r="C270" s="1">
        <v>45838.01458333333</v>
      </c>
      <c r="D270" t="s">
        <v>41</v>
      </c>
      <c r="E270" t="s">
        <v>166</v>
      </c>
      <c r="F270">
        <v>100</v>
      </c>
      <c r="G270">
        <v>583.85</v>
      </c>
      <c r="H270">
        <v>29.19</v>
      </c>
      <c r="I270" t="s">
        <v>66</v>
      </c>
      <c r="J270" t="s">
        <v>139</v>
      </c>
      <c r="L270" s="1">
        <v>45769</v>
      </c>
      <c r="M270" s="9">
        <f>Table11[[#This Row],[quantity]]*Table11[[#This Row],[price]]</f>
        <v>58385</v>
      </c>
    </row>
    <row r="271" spans="1:13" x14ac:dyDescent="0.3">
      <c r="A271" t="s">
        <v>937</v>
      </c>
      <c r="B271" t="s">
        <v>302</v>
      </c>
      <c r="C271" s="1">
        <v>45698.030555555553</v>
      </c>
      <c r="D271" t="s">
        <v>27</v>
      </c>
      <c r="E271" t="s">
        <v>166</v>
      </c>
      <c r="F271">
        <v>940</v>
      </c>
      <c r="G271">
        <v>742.82</v>
      </c>
      <c r="H271">
        <v>349.13</v>
      </c>
      <c r="I271" t="s">
        <v>48</v>
      </c>
      <c r="J271" t="s">
        <v>121</v>
      </c>
      <c r="L271" s="1">
        <v>45797</v>
      </c>
      <c r="M271" s="9">
        <f>Table11[[#This Row],[quantity]]*Table11[[#This Row],[price]]</f>
        <v>698250.8</v>
      </c>
    </row>
    <row r="272" spans="1:13" x14ac:dyDescent="0.3">
      <c r="A272" t="s">
        <v>938</v>
      </c>
      <c r="B272" t="s">
        <v>262</v>
      </c>
      <c r="C272" s="1">
        <v>45761.035416666673</v>
      </c>
      <c r="D272" t="s">
        <v>41</v>
      </c>
      <c r="E272" t="s">
        <v>161</v>
      </c>
      <c r="F272">
        <v>954</v>
      </c>
      <c r="G272">
        <v>569.99</v>
      </c>
      <c r="H272">
        <v>271.89</v>
      </c>
      <c r="I272" t="s">
        <v>78</v>
      </c>
      <c r="J272" t="s">
        <v>127</v>
      </c>
      <c r="L272" s="1">
        <v>45695</v>
      </c>
      <c r="M272" s="9">
        <f>Table11[[#This Row],[quantity]]*Table11[[#This Row],[price]]</f>
        <v>543770.46</v>
      </c>
    </row>
    <row r="273" spans="1:13" x14ac:dyDescent="0.3">
      <c r="A273" t="s">
        <v>939</v>
      </c>
      <c r="B273" t="s">
        <v>551</v>
      </c>
      <c r="C273" s="1">
        <v>45765.040972222218</v>
      </c>
      <c r="D273" t="s">
        <v>37</v>
      </c>
      <c r="E273" t="s">
        <v>166</v>
      </c>
      <c r="F273">
        <v>777</v>
      </c>
      <c r="G273">
        <v>256.48</v>
      </c>
      <c r="H273">
        <v>99.64</v>
      </c>
      <c r="I273" t="s">
        <v>60</v>
      </c>
      <c r="J273" t="s">
        <v>142</v>
      </c>
      <c r="L273" s="1">
        <v>45698</v>
      </c>
      <c r="M273" s="9">
        <f>Table11[[#This Row],[quantity]]*Table11[[#This Row],[price]]</f>
        <v>199284.96000000002</v>
      </c>
    </row>
    <row r="274" spans="1:13" x14ac:dyDescent="0.3">
      <c r="A274" t="s">
        <v>940</v>
      </c>
      <c r="B274" t="s">
        <v>570</v>
      </c>
      <c r="C274" s="1">
        <v>45709.019444444442</v>
      </c>
      <c r="D274" t="s">
        <v>41</v>
      </c>
      <c r="E274" t="s">
        <v>161</v>
      </c>
      <c r="F274">
        <v>608</v>
      </c>
      <c r="G274">
        <v>544.01</v>
      </c>
      <c r="H274">
        <v>165.38</v>
      </c>
      <c r="I274" t="s">
        <v>78</v>
      </c>
      <c r="J274" t="s">
        <v>136</v>
      </c>
      <c r="L274" s="1">
        <v>45796</v>
      </c>
      <c r="M274" s="9">
        <f>Table11[[#This Row],[quantity]]*Table11[[#This Row],[price]]</f>
        <v>330758.08</v>
      </c>
    </row>
    <row r="275" spans="1:13" x14ac:dyDescent="0.3">
      <c r="A275" t="s">
        <v>941</v>
      </c>
      <c r="B275" t="s">
        <v>410</v>
      </c>
      <c r="C275" s="1">
        <v>45828.040277777778</v>
      </c>
      <c r="D275" t="s">
        <v>29</v>
      </c>
      <c r="E275" t="s">
        <v>161</v>
      </c>
      <c r="F275">
        <v>689</v>
      </c>
      <c r="G275">
        <v>1297.44</v>
      </c>
      <c r="H275">
        <v>446.97</v>
      </c>
      <c r="I275" t="s">
        <v>84</v>
      </c>
      <c r="J275" t="s">
        <v>136</v>
      </c>
      <c r="L275" s="1">
        <v>45671</v>
      </c>
      <c r="M275" s="9">
        <f>Table11[[#This Row],[quantity]]*Table11[[#This Row],[price]]</f>
        <v>893936.16</v>
      </c>
    </row>
    <row r="276" spans="1:13" x14ac:dyDescent="0.3">
      <c r="A276" t="s">
        <v>942</v>
      </c>
      <c r="B276" t="s">
        <v>248</v>
      </c>
      <c r="C276" s="1">
        <v>45721.009027777778</v>
      </c>
      <c r="D276" t="s">
        <v>27</v>
      </c>
      <c r="E276" t="s">
        <v>166</v>
      </c>
      <c r="F276">
        <v>735</v>
      </c>
      <c r="G276">
        <v>739.55</v>
      </c>
      <c r="H276">
        <v>271.77999999999997</v>
      </c>
      <c r="I276" t="s">
        <v>62</v>
      </c>
      <c r="J276" t="s">
        <v>127</v>
      </c>
      <c r="L276" s="1">
        <v>45726</v>
      </c>
      <c r="M276" s="9">
        <f>Table11[[#This Row],[quantity]]*Table11[[#This Row],[price]]</f>
        <v>543569.25</v>
      </c>
    </row>
    <row r="277" spans="1:13" x14ac:dyDescent="0.3">
      <c r="A277" t="s">
        <v>943</v>
      </c>
      <c r="B277" t="s">
        <v>175</v>
      </c>
      <c r="C277" s="1">
        <v>45778.019444444442</v>
      </c>
      <c r="D277" t="s">
        <v>29</v>
      </c>
      <c r="E277" t="s">
        <v>161</v>
      </c>
      <c r="F277">
        <v>386</v>
      </c>
      <c r="G277">
        <v>1209.22</v>
      </c>
      <c r="H277">
        <v>233.38</v>
      </c>
      <c r="I277" t="s">
        <v>57</v>
      </c>
      <c r="J277" t="s">
        <v>136</v>
      </c>
      <c r="L277" s="1">
        <v>45686</v>
      </c>
      <c r="M277" s="9">
        <f>Table11[[#This Row],[quantity]]*Table11[[#This Row],[price]]</f>
        <v>466758.92</v>
      </c>
    </row>
    <row r="278" spans="1:13" x14ac:dyDescent="0.3">
      <c r="A278" t="s">
        <v>944</v>
      </c>
      <c r="B278" t="s">
        <v>419</v>
      </c>
      <c r="C278" s="1">
        <v>45686.03125</v>
      </c>
      <c r="D278" t="s">
        <v>35</v>
      </c>
      <c r="E278" t="s">
        <v>161</v>
      </c>
      <c r="F278">
        <v>67</v>
      </c>
      <c r="G278">
        <v>608.52</v>
      </c>
      <c r="H278">
        <v>20.39</v>
      </c>
      <c r="I278" t="s">
        <v>94</v>
      </c>
      <c r="J278" t="s">
        <v>133</v>
      </c>
      <c r="L278" s="1">
        <v>45807</v>
      </c>
      <c r="M278" s="9">
        <f>Table11[[#This Row],[quantity]]*Table11[[#This Row],[price]]</f>
        <v>40770.839999999997</v>
      </c>
    </row>
    <row r="279" spans="1:13" x14ac:dyDescent="0.3">
      <c r="A279" t="s">
        <v>945</v>
      </c>
      <c r="B279" t="s">
        <v>249</v>
      </c>
      <c r="C279" s="1">
        <v>45826.031944444447</v>
      </c>
      <c r="D279" t="s">
        <v>32</v>
      </c>
      <c r="E279" t="s">
        <v>161</v>
      </c>
      <c r="F279">
        <v>937</v>
      </c>
      <c r="G279">
        <v>2139.87</v>
      </c>
      <c r="H279">
        <v>1002.53</v>
      </c>
      <c r="I279" t="s">
        <v>104</v>
      </c>
      <c r="J279" t="s">
        <v>130</v>
      </c>
      <c r="L279" s="1">
        <v>45763</v>
      </c>
      <c r="M279" s="9">
        <f>Table11[[#This Row],[quantity]]*Table11[[#This Row],[price]]</f>
        <v>2005058.19</v>
      </c>
    </row>
    <row r="280" spans="1:13" x14ac:dyDescent="0.3">
      <c r="A280" t="s">
        <v>946</v>
      </c>
      <c r="B280" t="s">
        <v>195</v>
      </c>
      <c r="C280" s="1">
        <v>45728.040277777778</v>
      </c>
      <c r="D280" t="s">
        <v>43</v>
      </c>
      <c r="E280" t="s">
        <v>166</v>
      </c>
      <c r="F280">
        <v>782</v>
      </c>
      <c r="G280">
        <v>1105.99</v>
      </c>
      <c r="H280">
        <v>432.44</v>
      </c>
      <c r="I280" t="s">
        <v>54</v>
      </c>
      <c r="J280" t="s">
        <v>115</v>
      </c>
      <c r="L280" s="1">
        <v>45719</v>
      </c>
      <c r="M280" s="9">
        <f>Table11[[#This Row],[quantity]]*Table11[[#This Row],[price]]</f>
        <v>864884.18</v>
      </c>
    </row>
    <row r="281" spans="1:13" x14ac:dyDescent="0.3">
      <c r="A281" t="s">
        <v>947</v>
      </c>
      <c r="B281" t="s">
        <v>434</v>
      </c>
      <c r="C281" s="1">
        <v>45687.019444444442</v>
      </c>
      <c r="D281" t="s">
        <v>37</v>
      </c>
      <c r="E281" t="s">
        <v>166</v>
      </c>
      <c r="F281">
        <v>880</v>
      </c>
      <c r="G281">
        <v>234.26</v>
      </c>
      <c r="H281">
        <v>103.07</v>
      </c>
      <c r="I281" t="s">
        <v>98</v>
      </c>
      <c r="J281" t="s">
        <v>139</v>
      </c>
      <c r="L281" s="1">
        <v>45765</v>
      </c>
      <c r="M281" s="9">
        <f>Table11[[#This Row],[quantity]]*Table11[[#This Row],[price]]</f>
        <v>206148.8</v>
      </c>
    </row>
    <row r="282" spans="1:13" x14ac:dyDescent="0.3">
      <c r="A282" t="s">
        <v>948</v>
      </c>
      <c r="B282" t="s">
        <v>639</v>
      </c>
      <c r="C282" s="1">
        <v>45754.03402777778</v>
      </c>
      <c r="D282" t="s">
        <v>43</v>
      </c>
      <c r="E282" t="s">
        <v>161</v>
      </c>
      <c r="F282">
        <v>481</v>
      </c>
      <c r="G282">
        <v>1220.02</v>
      </c>
      <c r="H282">
        <v>293.41000000000003</v>
      </c>
      <c r="I282" t="s">
        <v>54</v>
      </c>
      <c r="J282" t="s">
        <v>115</v>
      </c>
      <c r="L282" s="1">
        <v>45825</v>
      </c>
      <c r="M282" s="9">
        <f>Table11[[#This Row],[quantity]]*Table11[[#This Row],[price]]</f>
        <v>586829.62</v>
      </c>
    </row>
    <row r="283" spans="1:13" x14ac:dyDescent="0.3">
      <c r="A283" t="s">
        <v>949</v>
      </c>
      <c r="B283" t="s">
        <v>328</v>
      </c>
      <c r="C283" s="1">
        <v>45763.033333333333</v>
      </c>
      <c r="D283" t="s">
        <v>27</v>
      </c>
      <c r="E283" t="s">
        <v>166</v>
      </c>
      <c r="F283">
        <v>726</v>
      </c>
      <c r="G283">
        <v>800.67</v>
      </c>
      <c r="H283">
        <v>290.64</v>
      </c>
      <c r="I283" t="s">
        <v>102</v>
      </c>
      <c r="J283" t="s">
        <v>127</v>
      </c>
      <c r="L283" s="1">
        <v>45740</v>
      </c>
      <c r="M283" s="9">
        <f>Table11[[#This Row],[quantity]]*Table11[[#This Row],[price]]</f>
        <v>581286.41999999993</v>
      </c>
    </row>
    <row r="284" spans="1:13" x14ac:dyDescent="0.3">
      <c r="A284" t="s">
        <v>950</v>
      </c>
      <c r="B284" t="s">
        <v>353</v>
      </c>
      <c r="C284" s="1">
        <v>45835.029861111107</v>
      </c>
      <c r="D284" t="s">
        <v>32</v>
      </c>
      <c r="E284" t="s">
        <v>161</v>
      </c>
      <c r="F284">
        <v>699</v>
      </c>
      <c r="G284">
        <v>2242.79</v>
      </c>
      <c r="H284">
        <v>783.86</v>
      </c>
      <c r="I284" t="s">
        <v>108</v>
      </c>
      <c r="J284" t="s">
        <v>136</v>
      </c>
      <c r="L284" s="1">
        <v>45827</v>
      </c>
      <c r="M284" s="9">
        <f>Table11[[#This Row],[quantity]]*Table11[[#This Row],[price]]</f>
        <v>1567710.21</v>
      </c>
    </row>
    <row r="285" spans="1:13" x14ac:dyDescent="0.3">
      <c r="A285" t="s">
        <v>951</v>
      </c>
      <c r="B285" t="s">
        <v>471</v>
      </c>
      <c r="C285" s="1">
        <v>45761.027777777781</v>
      </c>
      <c r="D285" t="s">
        <v>39</v>
      </c>
      <c r="E285" t="s">
        <v>166</v>
      </c>
      <c r="F285">
        <v>289</v>
      </c>
      <c r="G285">
        <v>246.71</v>
      </c>
      <c r="H285">
        <v>35.65</v>
      </c>
      <c r="I285" t="s">
        <v>84</v>
      </c>
      <c r="J285" t="s">
        <v>115</v>
      </c>
      <c r="L285" s="1">
        <v>45776</v>
      </c>
      <c r="M285" s="9">
        <f>Table11[[#This Row],[quantity]]*Table11[[#This Row],[price]]</f>
        <v>71299.19</v>
      </c>
    </row>
    <row r="286" spans="1:13" x14ac:dyDescent="0.3">
      <c r="A286" t="s">
        <v>952</v>
      </c>
      <c r="B286" t="s">
        <v>405</v>
      </c>
      <c r="C286" s="1">
        <v>45734.027083333327</v>
      </c>
      <c r="D286" t="s">
        <v>32</v>
      </c>
      <c r="E286" t="s">
        <v>166</v>
      </c>
      <c r="F286">
        <v>537</v>
      </c>
      <c r="G286">
        <v>2174.5700000000002</v>
      </c>
      <c r="H286">
        <v>583.87</v>
      </c>
      <c r="I286" t="s">
        <v>88</v>
      </c>
      <c r="J286" t="s">
        <v>130</v>
      </c>
      <c r="L286" s="1">
        <v>45702</v>
      </c>
      <c r="M286" s="9">
        <f>Table11[[#This Row],[quantity]]*Table11[[#This Row],[price]]</f>
        <v>1167744.0900000001</v>
      </c>
    </row>
    <row r="287" spans="1:13" x14ac:dyDescent="0.3">
      <c r="A287" t="s">
        <v>953</v>
      </c>
      <c r="B287" t="s">
        <v>545</v>
      </c>
      <c r="C287" s="1">
        <v>45688.033333333333</v>
      </c>
      <c r="D287" t="s">
        <v>29</v>
      </c>
      <c r="E287" t="s">
        <v>166</v>
      </c>
      <c r="F287">
        <v>66</v>
      </c>
      <c r="G287">
        <v>1187.55</v>
      </c>
      <c r="H287">
        <v>39.19</v>
      </c>
      <c r="I287" t="s">
        <v>102</v>
      </c>
      <c r="J287" t="s">
        <v>127</v>
      </c>
      <c r="L287" s="1">
        <v>45798</v>
      </c>
      <c r="M287" s="9">
        <f>Table11[[#This Row],[quantity]]*Table11[[#This Row],[price]]</f>
        <v>78378.3</v>
      </c>
    </row>
    <row r="288" spans="1:13" x14ac:dyDescent="0.3">
      <c r="A288" t="s">
        <v>954</v>
      </c>
      <c r="B288" t="s">
        <v>584</v>
      </c>
      <c r="C288" s="1">
        <v>45800.023611111108</v>
      </c>
      <c r="D288" t="s">
        <v>43</v>
      </c>
      <c r="E288" t="s">
        <v>161</v>
      </c>
      <c r="F288">
        <v>449</v>
      </c>
      <c r="G288">
        <v>1416.58</v>
      </c>
      <c r="H288">
        <v>318.02</v>
      </c>
      <c r="I288" t="s">
        <v>82</v>
      </c>
      <c r="J288" t="s">
        <v>142</v>
      </c>
      <c r="L288" s="1">
        <v>45687</v>
      </c>
      <c r="M288" s="9">
        <f>Table11[[#This Row],[quantity]]*Table11[[#This Row],[price]]</f>
        <v>636044.41999999993</v>
      </c>
    </row>
    <row r="289" spans="1:13" x14ac:dyDescent="0.3">
      <c r="A289" t="s">
        <v>955</v>
      </c>
      <c r="B289" t="s">
        <v>227</v>
      </c>
      <c r="C289" s="1">
        <v>45680.031944444447</v>
      </c>
      <c r="D289" t="s">
        <v>32</v>
      </c>
      <c r="E289" t="s">
        <v>161</v>
      </c>
      <c r="F289">
        <v>540</v>
      </c>
      <c r="G289">
        <v>2044.13</v>
      </c>
      <c r="H289">
        <v>551.91999999999996</v>
      </c>
      <c r="I289" t="s">
        <v>68</v>
      </c>
      <c r="J289" t="s">
        <v>118</v>
      </c>
      <c r="L289" s="1">
        <v>45721</v>
      </c>
      <c r="M289" s="9">
        <f>Table11[[#This Row],[quantity]]*Table11[[#This Row],[price]]</f>
        <v>1103830.2</v>
      </c>
    </row>
    <row r="290" spans="1:13" x14ac:dyDescent="0.3">
      <c r="A290" t="s">
        <v>956</v>
      </c>
      <c r="B290" t="s">
        <v>489</v>
      </c>
      <c r="C290" s="1">
        <v>45761.039583333331</v>
      </c>
      <c r="D290" t="s">
        <v>41</v>
      </c>
      <c r="E290" t="s">
        <v>166</v>
      </c>
      <c r="F290">
        <v>211</v>
      </c>
      <c r="G290">
        <v>568.85</v>
      </c>
      <c r="H290">
        <v>60.01</v>
      </c>
      <c r="I290" t="s">
        <v>96</v>
      </c>
      <c r="J290" t="s">
        <v>127</v>
      </c>
      <c r="L290" s="1">
        <v>45723</v>
      </c>
      <c r="M290" s="9">
        <f>Table11[[#This Row],[quantity]]*Table11[[#This Row],[price]]</f>
        <v>120027.35</v>
      </c>
    </row>
    <row r="291" spans="1:13" x14ac:dyDescent="0.3">
      <c r="A291" t="s">
        <v>957</v>
      </c>
      <c r="B291" t="s">
        <v>247</v>
      </c>
      <c r="C291" s="1">
        <v>45769.015277777777</v>
      </c>
      <c r="D291" t="s">
        <v>35</v>
      </c>
      <c r="E291" t="s">
        <v>166</v>
      </c>
      <c r="F291">
        <v>16</v>
      </c>
      <c r="G291">
        <v>645.04</v>
      </c>
      <c r="H291">
        <v>5.16</v>
      </c>
      <c r="I291" t="s">
        <v>96</v>
      </c>
      <c r="J291" t="s">
        <v>115</v>
      </c>
      <c r="L291" s="1">
        <v>45826</v>
      </c>
      <c r="M291" s="9">
        <f>Table11[[#This Row],[quantity]]*Table11[[#This Row],[price]]</f>
        <v>10320.64</v>
      </c>
    </row>
    <row r="292" spans="1:13" x14ac:dyDescent="0.3">
      <c r="A292" t="s">
        <v>958</v>
      </c>
      <c r="B292" t="s">
        <v>542</v>
      </c>
      <c r="C292" s="1">
        <v>45680.000694444447</v>
      </c>
      <c r="D292" t="s">
        <v>39</v>
      </c>
      <c r="E292" t="s">
        <v>161</v>
      </c>
      <c r="F292">
        <v>297</v>
      </c>
      <c r="G292">
        <v>241.14</v>
      </c>
      <c r="H292">
        <v>35.81</v>
      </c>
      <c r="I292" t="s">
        <v>78</v>
      </c>
      <c r="J292" t="s">
        <v>142</v>
      </c>
      <c r="L292" s="1">
        <v>45812</v>
      </c>
      <c r="M292" s="9">
        <f>Table11[[#This Row],[quantity]]*Table11[[#This Row],[price]]</f>
        <v>71618.58</v>
      </c>
    </row>
    <row r="293" spans="1:13" x14ac:dyDescent="0.3">
      <c r="A293" t="s">
        <v>959</v>
      </c>
      <c r="B293" t="s">
        <v>628</v>
      </c>
      <c r="C293" s="1">
        <v>45660.039583333331</v>
      </c>
      <c r="D293" t="s">
        <v>39</v>
      </c>
      <c r="E293" t="s">
        <v>161</v>
      </c>
      <c r="F293">
        <v>989</v>
      </c>
      <c r="G293">
        <v>241.25</v>
      </c>
      <c r="H293">
        <v>119.3</v>
      </c>
      <c r="I293" t="s">
        <v>74</v>
      </c>
      <c r="J293" t="s">
        <v>121</v>
      </c>
      <c r="L293" s="1">
        <v>45749</v>
      </c>
      <c r="M293" s="9">
        <f>Table11[[#This Row],[quantity]]*Table11[[#This Row],[price]]</f>
        <v>238596.25</v>
      </c>
    </row>
    <row r="294" spans="1:13" x14ac:dyDescent="0.3">
      <c r="A294" t="s">
        <v>960</v>
      </c>
      <c r="B294" t="s">
        <v>216</v>
      </c>
      <c r="C294" s="1">
        <v>45693.018055555563</v>
      </c>
      <c r="D294" t="s">
        <v>32</v>
      </c>
      <c r="E294" t="s">
        <v>166</v>
      </c>
      <c r="F294">
        <v>130</v>
      </c>
      <c r="G294">
        <v>2172.5700000000002</v>
      </c>
      <c r="H294">
        <v>141.22</v>
      </c>
      <c r="I294" t="s">
        <v>88</v>
      </c>
      <c r="J294" t="s">
        <v>139</v>
      </c>
      <c r="L294" s="1">
        <v>45715</v>
      </c>
      <c r="M294" s="9">
        <f>Table11[[#This Row],[quantity]]*Table11[[#This Row],[price]]</f>
        <v>282434.10000000003</v>
      </c>
    </row>
    <row r="295" spans="1:13" x14ac:dyDescent="0.3">
      <c r="A295" t="s">
        <v>961</v>
      </c>
      <c r="B295" t="s">
        <v>450</v>
      </c>
      <c r="C295" s="1">
        <v>45680.009722222218</v>
      </c>
      <c r="D295" t="s">
        <v>35</v>
      </c>
      <c r="E295" t="s">
        <v>161</v>
      </c>
      <c r="F295">
        <v>919</v>
      </c>
      <c r="G295">
        <v>600.16999999999996</v>
      </c>
      <c r="H295">
        <v>275.77999999999997</v>
      </c>
      <c r="I295" t="s">
        <v>100</v>
      </c>
      <c r="J295" t="s">
        <v>124</v>
      </c>
      <c r="L295" s="1">
        <v>45765</v>
      </c>
      <c r="M295" s="9">
        <f>Table11[[#This Row],[quantity]]*Table11[[#This Row],[price]]</f>
        <v>551556.23</v>
      </c>
    </row>
    <row r="296" spans="1:13" x14ac:dyDescent="0.3">
      <c r="A296" t="s">
        <v>962</v>
      </c>
      <c r="B296" t="s">
        <v>618</v>
      </c>
      <c r="C296" s="1">
        <v>45692.01666666667</v>
      </c>
      <c r="D296" t="s">
        <v>41</v>
      </c>
      <c r="E296" t="s">
        <v>166</v>
      </c>
      <c r="F296">
        <v>196</v>
      </c>
      <c r="G296">
        <v>512.34</v>
      </c>
      <c r="H296">
        <v>50.21</v>
      </c>
      <c r="I296" t="s">
        <v>68</v>
      </c>
      <c r="J296" t="s">
        <v>130</v>
      </c>
      <c r="L296" s="1">
        <v>45814</v>
      </c>
      <c r="M296" s="9">
        <f>Table11[[#This Row],[quantity]]*Table11[[#This Row],[price]]</f>
        <v>100418.64</v>
      </c>
    </row>
    <row r="297" spans="1:13" x14ac:dyDescent="0.3">
      <c r="A297" t="s">
        <v>963</v>
      </c>
      <c r="B297" t="s">
        <v>615</v>
      </c>
      <c r="C297" s="1">
        <v>45757.009722222218</v>
      </c>
      <c r="D297" t="s">
        <v>41</v>
      </c>
      <c r="E297" t="s">
        <v>161</v>
      </c>
      <c r="F297">
        <v>925</v>
      </c>
      <c r="G297">
        <v>579.51</v>
      </c>
      <c r="H297">
        <v>268.02</v>
      </c>
      <c r="I297" t="s">
        <v>51</v>
      </c>
      <c r="J297" t="s">
        <v>142</v>
      </c>
      <c r="L297" s="1">
        <v>45821</v>
      </c>
      <c r="M297" s="9">
        <f>Table11[[#This Row],[quantity]]*Table11[[#This Row],[price]]</f>
        <v>536046.75</v>
      </c>
    </row>
    <row r="298" spans="1:13" x14ac:dyDescent="0.3">
      <c r="A298" t="s">
        <v>964</v>
      </c>
      <c r="B298" t="s">
        <v>602</v>
      </c>
      <c r="C298" s="1">
        <v>45796.015972222223</v>
      </c>
      <c r="D298" t="s">
        <v>37</v>
      </c>
      <c r="E298" t="s">
        <v>166</v>
      </c>
      <c r="F298">
        <v>244</v>
      </c>
      <c r="G298">
        <v>246.11</v>
      </c>
      <c r="H298">
        <v>30.03</v>
      </c>
      <c r="I298" t="s">
        <v>98</v>
      </c>
      <c r="J298" t="s">
        <v>130</v>
      </c>
      <c r="L298" s="1">
        <v>45832</v>
      </c>
      <c r="M298" s="9">
        <f>Table11[[#This Row],[quantity]]*Table11[[#This Row],[price]]</f>
        <v>60050.840000000004</v>
      </c>
    </row>
    <row r="299" spans="1:13" x14ac:dyDescent="0.3">
      <c r="A299" t="s">
        <v>965</v>
      </c>
      <c r="B299" t="s">
        <v>596</v>
      </c>
      <c r="C299" s="1">
        <v>45698.003472222219</v>
      </c>
      <c r="D299" t="s">
        <v>29</v>
      </c>
      <c r="E299" t="s">
        <v>166</v>
      </c>
      <c r="F299">
        <v>635</v>
      </c>
      <c r="G299">
        <v>1217.55</v>
      </c>
      <c r="H299">
        <v>386.57</v>
      </c>
      <c r="I299" t="s">
        <v>110</v>
      </c>
      <c r="J299" t="s">
        <v>127</v>
      </c>
      <c r="L299" s="1">
        <v>45715</v>
      </c>
      <c r="M299" s="9">
        <f>Table11[[#This Row],[quantity]]*Table11[[#This Row],[price]]</f>
        <v>773144.25</v>
      </c>
    </row>
    <row r="300" spans="1:13" x14ac:dyDescent="0.3">
      <c r="A300" t="s">
        <v>966</v>
      </c>
      <c r="B300" t="s">
        <v>589</v>
      </c>
      <c r="C300" s="1">
        <v>45727.020833333343</v>
      </c>
      <c r="D300" t="s">
        <v>27</v>
      </c>
      <c r="E300" t="s">
        <v>161</v>
      </c>
      <c r="F300">
        <v>175</v>
      </c>
      <c r="G300">
        <v>769.58</v>
      </c>
      <c r="H300">
        <v>67.34</v>
      </c>
      <c r="I300" t="s">
        <v>66</v>
      </c>
      <c r="J300" t="s">
        <v>136</v>
      </c>
      <c r="L300" s="1">
        <v>45664</v>
      </c>
      <c r="M300" s="9">
        <f>Table11[[#This Row],[quantity]]*Table11[[#This Row],[price]]</f>
        <v>134676.5</v>
      </c>
    </row>
    <row r="301" spans="1:13" x14ac:dyDescent="0.3">
      <c r="A301" t="s">
        <v>967</v>
      </c>
      <c r="B301" t="s">
        <v>349</v>
      </c>
      <c r="C301" s="1">
        <v>45681.013888888891</v>
      </c>
      <c r="D301" t="s">
        <v>39</v>
      </c>
      <c r="E301" t="s">
        <v>161</v>
      </c>
      <c r="F301">
        <v>448</v>
      </c>
      <c r="G301">
        <v>238.27</v>
      </c>
      <c r="H301">
        <v>53.37</v>
      </c>
      <c r="I301" t="s">
        <v>68</v>
      </c>
      <c r="J301" t="s">
        <v>115</v>
      </c>
      <c r="L301" s="1">
        <v>45818</v>
      </c>
      <c r="M301" s="9">
        <f>Table11[[#This Row],[quantity]]*Table11[[#This Row],[price]]</f>
        <v>106744.96000000001</v>
      </c>
    </row>
    <row r="302" spans="1:13" x14ac:dyDescent="0.3">
      <c r="A302" t="s">
        <v>968</v>
      </c>
      <c r="B302" t="s">
        <v>625</v>
      </c>
      <c r="C302" s="1">
        <v>45807.01666666667</v>
      </c>
      <c r="D302" t="s">
        <v>37</v>
      </c>
      <c r="E302" t="s">
        <v>161</v>
      </c>
      <c r="F302">
        <v>469</v>
      </c>
      <c r="G302">
        <v>253.45</v>
      </c>
      <c r="H302">
        <v>59.43</v>
      </c>
      <c r="I302" t="s">
        <v>80</v>
      </c>
      <c r="J302" t="s">
        <v>124</v>
      </c>
      <c r="L302" s="1">
        <v>45831</v>
      </c>
      <c r="M302" s="9">
        <f>Table11[[#This Row],[quantity]]*Table11[[#This Row],[price]]</f>
        <v>118868.04999999999</v>
      </c>
    </row>
    <row r="303" spans="1:13" x14ac:dyDescent="0.3">
      <c r="A303" t="s">
        <v>969</v>
      </c>
      <c r="B303" t="s">
        <v>265</v>
      </c>
      <c r="C303" s="1">
        <v>45678.009027777778</v>
      </c>
      <c r="D303" t="s">
        <v>39</v>
      </c>
      <c r="E303" t="s">
        <v>161</v>
      </c>
      <c r="F303">
        <v>220</v>
      </c>
      <c r="G303">
        <v>242.98</v>
      </c>
      <c r="H303">
        <v>26.73</v>
      </c>
      <c r="I303" t="s">
        <v>110</v>
      </c>
      <c r="J303" t="s">
        <v>127</v>
      </c>
      <c r="L303" s="1">
        <v>45733</v>
      </c>
      <c r="M303" s="9">
        <f>Table11[[#This Row],[quantity]]*Table11[[#This Row],[price]]</f>
        <v>53455.6</v>
      </c>
    </row>
    <row r="304" spans="1:13" x14ac:dyDescent="0.3">
      <c r="A304" t="s">
        <v>970</v>
      </c>
      <c r="B304" t="s">
        <v>513</v>
      </c>
      <c r="C304" s="1">
        <v>45754.034722222219</v>
      </c>
      <c r="D304" t="s">
        <v>32</v>
      </c>
      <c r="E304" t="s">
        <v>161</v>
      </c>
      <c r="F304">
        <v>269</v>
      </c>
      <c r="G304">
        <v>2198.21</v>
      </c>
      <c r="H304">
        <v>295.66000000000003</v>
      </c>
      <c r="I304" t="s">
        <v>110</v>
      </c>
      <c r="J304" t="s">
        <v>121</v>
      </c>
      <c r="L304" s="1">
        <v>45721</v>
      </c>
      <c r="M304" s="9">
        <f>Table11[[#This Row],[quantity]]*Table11[[#This Row],[price]]</f>
        <v>591318.49</v>
      </c>
    </row>
    <row r="305" spans="1:13" x14ac:dyDescent="0.3">
      <c r="A305" t="s">
        <v>971</v>
      </c>
      <c r="B305" t="s">
        <v>445</v>
      </c>
      <c r="C305" s="1">
        <v>45792.004861111112</v>
      </c>
      <c r="D305" t="s">
        <v>35</v>
      </c>
      <c r="E305" t="s">
        <v>166</v>
      </c>
      <c r="F305">
        <v>977</v>
      </c>
      <c r="G305">
        <v>652.03</v>
      </c>
      <c r="H305">
        <v>318.52</v>
      </c>
      <c r="I305" t="s">
        <v>48</v>
      </c>
      <c r="J305" t="s">
        <v>130</v>
      </c>
      <c r="L305" s="1">
        <v>45685</v>
      </c>
      <c r="M305" s="9">
        <f>Table11[[#This Row],[quantity]]*Table11[[#This Row],[price]]</f>
        <v>637033.30999999994</v>
      </c>
    </row>
    <row r="306" spans="1:13" x14ac:dyDescent="0.3">
      <c r="A306" t="s">
        <v>972</v>
      </c>
      <c r="B306" t="s">
        <v>223</v>
      </c>
      <c r="C306" s="1">
        <v>45750.029861111107</v>
      </c>
      <c r="D306" t="s">
        <v>39</v>
      </c>
      <c r="E306" t="s">
        <v>161</v>
      </c>
      <c r="F306">
        <v>405</v>
      </c>
      <c r="G306">
        <v>235.81</v>
      </c>
      <c r="H306">
        <v>47.75</v>
      </c>
      <c r="I306" t="s">
        <v>72</v>
      </c>
      <c r="J306" t="s">
        <v>118</v>
      </c>
      <c r="L306" s="1">
        <v>45726</v>
      </c>
      <c r="M306" s="9">
        <f>Table11[[#This Row],[quantity]]*Table11[[#This Row],[price]]</f>
        <v>95503.05</v>
      </c>
    </row>
    <row r="307" spans="1:13" x14ac:dyDescent="0.3">
      <c r="A307" t="s">
        <v>973</v>
      </c>
      <c r="B307" t="s">
        <v>381</v>
      </c>
      <c r="C307" s="1">
        <v>45755.018750000003</v>
      </c>
      <c r="D307" t="s">
        <v>39</v>
      </c>
      <c r="E307" t="s">
        <v>166</v>
      </c>
      <c r="F307">
        <v>380</v>
      </c>
      <c r="G307">
        <v>238.43</v>
      </c>
      <c r="H307">
        <v>45.3</v>
      </c>
      <c r="I307" t="s">
        <v>48</v>
      </c>
      <c r="J307" t="s">
        <v>115</v>
      </c>
      <c r="L307" s="1">
        <v>45805</v>
      </c>
      <c r="M307" s="9">
        <f>Table11[[#This Row],[quantity]]*Table11[[#This Row],[price]]</f>
        <v>90603.400000000009</v>
      </c>
    </row>
    <row r="308" spans="1:13" x14ac:dyDescent="0.3">
      <c r="A308" t="s">
        <v>974</v>
      </c>
      <c r="B308" t="s">
        <v>352</v>
      </c>
      <c r="C308" s="1">
        <v>45691.02847222222</v>
      </c>
      <c r="D308" t="s">
        <v>41</v>
      </c>
      <c r="E308" t="s">
        <v>161</v>
      </c>
      <c r="F308">
        <v>879</v>
      </c>
      <c r="G308">
        <v>507.95</v>
      </c>
      <c r="H308">
        <v>223.24</v>
      </c>
      <c r="I308" t="s">
        <v>64</v>
      </c>
      <c r="J308" t="s">
        <v>121</v>
      </c>
      <c r="L308" s="1">
        <v>45714</v>
      </c>
      <c r="M308" s="9">
        <f>Table11[[#This Row],[quantity]]*Table11[[#This Row],[price]]</f>
        <v>446488.05</v>
      </c>
    </row>
    <row r="309" spans="1:13" x14ac:dyDescent="0.3">
      <c r="A309" t="s">
        <v>975</v>
      </c>
      <c r="B309" t="s">
        <v>571</v>
      </c>
      <c r="C309" s="1">
        <v>45831.001388888893</v>
      </c>
      <c r="D309" t="s">
        <v>37</v>
      </c>
      <c r="E309" t="s">
        <v>161</v>
      </c>
      <c r="F309">
        <v>720</v>
      </c>
      <c r="G309">
        <v>263.35000000000002</v>
      </c>
      <c r="H309">
        <v>94.81</v>
      </c>
      <c r="I309" t="s">
        <v>60</v>
      </c>
      <c r="J309" t="s">
        <v>133</v>
      </c>
      <c r="L309" s="1">
        <v>45793</v>
      </c>
      <c r="M309" s="9">
        <f>Table11[[#This Row],[quantity]]*Table11[[#This Row],[price]]</f>
        <v>189612.00000000003</v>
      </c>
    </row>
    <row r="310" spans="1:13" x14ac:dyDescent="0.3">
      <c r="A310" t="s">
        <v>976</v>
      </c>
      <c r="B310" t="s">
        <v>625</v>
      </c>
      <c r="C310" s="1">
        <v>45819.018750000003</v>
      </c>
      <c r="D310" t="s">
        <v>43</v>
      </c>
      <c r="E310" t="s">
        <v>166</v>
      </c>
      <c r="F310">
        <v>614</v>
      </c>
      <c r="G310">
        <v>1370.03</v>
      </c>
      <c r="H310">
        <v>420.6</v>
      </c>
      <c r="I310" t="s">
        <v>94</v>
      </c>
      <c r="J310" t="s">
        <v>121</v>
      </c>
      <c r="L310" s="1">
        <v>45699</v>
      </c>
      <c r="M310" s="9">
        <f>Table11[[#This Row],[quantity]]*Table11[[#This Row],[price]]</f>
        <v>841198.41999999993</v>
      </c>
    </row>
    <row r="311" spans="1:13" x14ac:dyDescent="0.3">
      <c r="A311" t="s">
        <v>977</v>
      </c>
      <c r="B311" t="s">
        <v>529</v>
      </c>
      <c r="C311" s="1">
        <v>45797.027083333327</v>
      </c>
      <c r="D311" t="s">
        <v>43</v>
      </c>
      <c r="E311" t="s">
        <v>166</v>
      </c>
      <c r="F311">
        <v>270</v>
      </c>
      <c r="G311">
        <v>1435.97</v>
      </c>
      <c r="H311">
        <v>193.86</v>
      </c>
      <c r="I311" t="s">
        <v>62</v>
      </c>
      <c r="J311" t="s">
        <v>121</v>
      </c>
      <c r="L311" s="1">
        <v>45741</v>
      </c>
      <c r="M311" s="9">
        <f>Table11[[#This Row],[quantity]]*Table11[[#This Row],[price]]</f>
        <v>387711.9</v>
      </c>
    </row>
    <row r="312" spans="1:13" x14ac:dyDescent="0.3">
      <c r="A312" t="s">
        <v>978</v>
      </c>
      <c r="B312" t="s">
        <v>416</v>
      </c>
      <c r="C312" s="1">
        <v>45666.010416666657</v>
      </c>
      <c r="D312" t="s">
        <v>32</v>
      </c>
      <c r="E312" t="s">
        <v>161</v>
      </c>
      <c r="F312">
        <v>648</v>
      </c>
      <c r="G312">
        <v>1999.54</v>
      </c>
      <c r="H312">
        <v>647.85</v>
      </c>
      <c r="I312" t="s">
        <v>96</v>
      </c>
      <c r="J312" t="s">
        <v>121</v>
      </c>
      <c r="L312" s="1">
        <v>45821</v>
      </c>
      <c r="M312" s="9">
        <f>Table11[[#This Row],[quantity]]*Table11[[#This Row],[price]]</f>
        <v>1295701.92</v>
      </c>
    </row>
    <row r="313" spans="1:13" x14ac:dyDescent="0.3">
      <c r="A313" t="s">
        <v>979</v>
      </c>
      <c r="B313" t="s">
        <v>445</v>
      </c>
      <c r="C313" s="1">
        <v>45807.002083333333</v>
      </c>
      <c r="D313" t="s">
        <v>27</v>
      </c>
      <c r="E313" t="s">
        <v>166</v>
      </c>
      <c r="F313">
        <v>121</v>
      </c>
      <c r="G313">
        <v>763.61</v>
      </c>
      <c r="H313">
        <v>46.2</v>
      </c>
      <c r="I313" t="s">
        <v>74</v>
      </c>
      <c r="J313" t="s">
        <v>136</v>
      </c>
      <c r="L313" s="1">
        <v>45800</v>
      </c>
      <c r="M313" s="9">
        <f>Table11[[#This Row],[quantity]]*Table11[[#This Row],[price]]</f>
        <v>92396.81</v>
      </c>
    </row>
    <row r="314" spans="1:13" x14ac:dyDescent="0.3">
      <c r="A314" t="s">
        <v>980</v>
      </c>
      <c r="B314" t="s">
        <v>285</v>
      </c>
      <c r="C314" s="1">
        <v>45812.039583333331</v>
      </c>
      <c r="D314" t="s">
        <v>37</v>
      </c>
      <c r="E314" t="s">
        <v>161</v>
      </c>
      <c r="F314">
        <v>259</v>
      </c>
      <c r="G314">
        <v>252.63</v>
      </c>
      <c r="H314">
        <v>32.72</v>
      </c>
      <c r="I314" t="s">
        <v>76</v>
      </c>
      <c r="J314" t="s">
        <v>139</v>
      </c>
      <c r="L314" s="1">
        <v>45832</v>
      </c>
      <c r="M314" s="9">
        <f>Table11[[#This Row],[quantity]]*Table11[[#This Row],[price]]</f>
        <v>65431.17</v>
      </c>
    </row>
    <row r="315" spans="1:13" x14ac:dyDescent="0.3">
      <c r="A315" t="s">
        <v>981</v>
      </c>
      <c r="B315" t="s">
        <v>172</v>
      </c>
      <c r="C315" s="1">
        <v>45670.012499999997</v>
      </c>
      <c r="D315" t="s">
        <v>27</v>
      </c>
      <c r="E315" t="s">
        <v>161</v>
      </c>
      <c r="F315">
        <v>313</v>
      </c>
      <c r="G315">
        <v>766.38</v>
      </c>
      <c r="H315">
        <v>119.94</v>
      </c>
      <c r="I315" t="s">
        <v>88</v>
      </c>
      <c r="J315" t="s">
        <v>133</v>
      </c>
      <c r="L315" s="1">
        <v>45720</v>
      </c>
      <c r="M315" s="9">
        <f>Table11[[#This Row],[quantity]]*Table11[[#This Row],[price]]</f>
        <v>239876.94</v>
      </c>
    </row>
    <row r="316" spans="1:13" x14ac:dyDescent="0.3">
      <c r="A316" t="s">
        <v>982</v>
      </c>
      <c r="B316" t="s">
        <v>383</v>
      </c>
      <c r="C316" s="1">
        <v>45765</v>
      </c>
      <c r="D316" t="s">
        <v>43</v>
      </c>
      <c r="E316" t="s">
        <v>161</v>
      </c>
      <c r="F316">
        <v>629</v>
      </c>
      <c r="G316">
        <v>1348.43</v>
      </c>
      <c r="H316">
        <v>424.08</v>
      </c>
      <c r="I316" t="s">
        <v>74</v>
      </c>
      <c r="J316" t="s">
        <v>121</v>
      </c>
      <c r="L316" s="1">
        <v>45833</v>
      </c>
      <c r="M316" s="9">
        <f>Table11[[#This Row],[quantity]]*Table11[[#This Row],[price]]</f>
        <v>848162.47000000009</v>
      </c>
    </row>
    <row r="317" spans="1:13" x14ac:dyDescent="0.3">
      <c r="A317" t="s">
        <v>983</v>
      </c>
      <c r="B317" t="s">
        <v>565</v>
      </c>
      <c r="C317" s="1">
        <v>45695.015277777777</v>
      </c>
      <c r="D317" t="s">
        <v>39</v>
      </c>
      <c r="E317" t="s">
        <v>166</v>
      </c>
      <c r="F317">
        <v>222</v>
      </c>
      <c r="G317">
        <v>235.05</v>
      </c>
      <c r="H317">
        <v>26.09</v>
      </c>
      <c r="I317" t="s">
        <v>68</v>
      </c>
      <c r="J317" t="s">
        <v>139</v>
      </c>
      <c r="L317" s="1">
        <v>45775</v>
      </c>
      <c r="M317" s="9">
        <f>Table11[[#This Row],[quantity]]*Table11[[#This Row],[price]]</f>
        <v>52181.100000000006</v>
      </c>
    </row>
    <row r="318" spans="1:13" x14ac:dyDescent="0.3">
      <c r="A318" t="s">
        <v>984</v>
      </c>
      <c r="B318" t="s">
        <v>396</v>
      </c>
      <c r="C318" s="1">
        <v>45699.039583333331</v>
      </c>
      <c r="D318" t="s">
        <v>43</v>
      </c>
      <c r="E318" t="s">
        <v>166</v>
      </c>
      <c r="F318">
        <v>31</v>
      </c>
      <c r="G318">
        <v>1041.8599999999999</v>
      </c>
      <c r="H318">
        <v>16.149999999999999</v>
      </c>
      <c r="I318" t="s">
        <v>66</v>
      </c>
      <c r="J318" t="s">
        <v>127</v>
      </c>
      <c r="L318" s="1">
        <v>45727</v>
      </c>
      <c r="M318" s="9">
        <f>Table11[[#This Row],[quantity]]*Table11[[#This Row],[price]]</f>
        <v>32297.659999999996</v>
      </c>
    </row>
    <row r="319" spans="1:13" x14ac:dyDescent="0.3">
      <c r="A319" t="s">
        <v>985</v>
      </c>
      <c r="B319" t="s">
        <v>538</v>
      </c>
      <c r="C319" s="1">
        <v>45659.015972222223</v>
      </c>
      <c r="D319" t="s">
        <v>29</v>
      </c>
      <c r="E319" t="s">
        <v>161</v>
      </c>
      <c r="F319">
        <v>722</v>
      </c>
      <c r="G319">
        <v>1155.97</v>
      </c>
      <c r="H319">
        <v>417.31</v>
      </c>
      <c r="I319" t="s">
        <v>86</v>
      </c>
      <c r="J319" t="s">
        <v>115</v>
      </c>
      <c r="L319" s="1">
        <v>45707</v>
      </c>
      <c r="M319" s="9">
        <f>Table11[[#This Row],[quantity]]*Table11[[#This Row],[price]]</f>
        <v>834610.34</v>
      </c>
    </row>
    <row r="320" spans="1:13" x14ac:dyDescent="0.3">
      <c r="A320" t="s">
        <v>986</v>
      </c>
      <c r="B320" t="s">
        <v>210</v>
      </c>
      <c r="C320" s="1">
        <v>45798.022222222222</v>
      </c>
      <c r="D320" t="s">
        <v>39</v>
      </c>
      <c r="E320" t="s">
        <v>161</v>
      </c>
      <c r="F320">
        <v>767</v>
      </c>
      <c r="G320">
        <v>239.91</v>
      </c>
      <c r="H320">
        <v>92.01</v>
      </c>
      <c r="I320" t="s">
        <v>51</v>
      </c>
      <c r="J320" t="s">
        <v>124</v>
      </c>
      <c r="L320" s="1">
        <v>45694</v>
      </c>
      <c r="M320" s="9">
        <f>Table11[[#This Row],[quantity]]*Table11[[#This Row],[price]]</f>
        <v>184010.97</v>
      </c>
    </row>
    <row r="321" spans="1:13" x14ac:dyDescent="0.3">
      <c r="A321" t="s">
        <v>987</v>
      </c>
      <c r="B321" t="s">
        <v>504</v>
      </c>
      <c r="C321" s="1">
        <v>45702.021527777782</v>
      </c>
      <c r="D321" t="s">
        <v>29</v>
      </c>
      <c r="E321" t="s">
        <v>161</v>
      </c>
      <c r="F321">
        <v>519</v>
      </c>
      <c r="G321">
        <v>1251.47</v>
      </c>
      <c r="H321">
        <v>324.76</v>
      </c>
      <c r="I321" t="s">
        <v>106</v>
      </c>
      <c r="J321" t="s">
        <v>130</v>
      </c>
      <c r="L321" s="1">
        <v>45805</v>
      </c>
      <c r="M321" s="9">
        <f>Table11[[#This Row],[quantity]]*Table11[[#This Row],[price]]</f>
        <v>649512.93000000005</v>
      </c>
    </row>
    <row r="322" spans="1:13" x14ac:dyDescent="0.3">
      <c r="A322" t="s">
        <v>988</v>
      </c>
      <c r="B322" t="s">
        <v>552</v>
      </c>
      <c r="C322" s="1">
        <v>45825.009722222218</v>
      </c>
      <c r="D322" t="s">
        <v>32</v>
      </c>
      <c r="E322" t="s">
        <v>161</v>
      </c>
      <c r="F322">
        <v>96</v>
      </c>
      <c r="G322">
        <v>2154.6</v>
      </c>
      <c r="H322">
        <v>103.42</v>
      </c>
      <c r="I322" t="s">
        <v>102</v>
      </c>
      <c r="J322" t="s">
        <v>121</v>
      </c>
      <c r="L322" s="1">
        <v>45733</v>
      </c>
      <c r="M322" s="9">
        <f>Table11[[#This Row],[quantity]]*Table11[[#This Row],[price]]</f>
        <v>206841.59999999998</v>
      </c>
    </row>
    <row r="323" spans="1:13" x14ac:dyDescent="0.3">
      <c r="A323" t="s">
        <v>989</v>
      </c>
      <c r="B323" t="s">
        <v>322</v>
      </c>
      <c r="C323" s="1">
        <v>45721</v>
      </c>
      <c r="D323" t="s">
        <v>41</v>
      </c>
      <c r="E323" t="s">
        <v>166</v>
      </c>
      <c r="F323">
        <v>287</v>
      </c>
      <c r="G323">
        <v>571.29</v>
      </c>
      <c r="H323">
        <v>81.98</v>
      </c>
      <c r="I323" t="s">
        <v>96</v>
      </c>
      <c r="J323" t="s">
        <v>130</v>
      </c>
      <c r="L323" s="1">
        <v>45720</v>
      </c>
      <c r="M323" s="9">
        <f>Table11[[#This Row],[quantity]]*Table11[[#This Row],[price]]</f>
        <v>163960.22999999998</v>
      </c>
    </row>
    <row r="324" spans="1:13" x14ac:dyDescent="0.3">
      <c r="A324" t="s">
        <v>990</v>
      </c>
      <c r="B324" t="s">
        <v>438</v>
      </c>
      <c r="C324" s="1">
        <v>45733.040972222218</v>
      </c>
      <c r="D324" t="s">
        <v>35</v>
      </c>
      <c r="E324" t="s">
        <v>161</v>
      </c>
      <c r="F324">
        <v>430</v>
      </c>
      <c r="G324">
        <v>646.72</v>
      </c>
      <c r="H324">
        <v>139.04</v>
      </c>
      <c r="I324" t="s">
        <v>86</v>
      </c>
      <c r="J324" t="s">
        <v>118</v>
      </c>
      <c r="L324" s="1">
        <v>45723</v>
      </c>
      <c r="M324" s="9">
        <f>Table11[[#This Row],[quantity]]*Table11[[#This Row],[price]]</f>
        <v>278089.60000000003</v>
      </c>
    </row>
    <row r="325" spans="1:13" x14ac:dyDescent="0.3">
      <c r="A325" t="s">
        <v>991</v>
      </c>
      <c r="B325" t="s">
        <v>290</v>
      </c>
      <c r="C325" s="1">
        <v>45729.021527777782</v>
      </c>
      <c r="D325" t="s">
        <v>39</v>
      </c>
      <c r="E325" t="s">
        <v>161</v>
      </c>
      <c r="F325">
        <v>383</v>
      </c>
      <c r="G325">
        <v>238.38</v>
      </c>
      <c r="H325">
        <v>45.65</v>
      </c>
      <c r="I325" t="s">
        <v>70</v>
      </c>
      <c r="J325" t="s">
        <v>118</v>
      </c>
      <c r="L325" s="1">
        <v>45831</v>
      </c>
      <c r="M325" s="9">
        <f>Table11[[#This Row],[quantity]]*Table11[[#This Row],[price]]</f>
        <v>91299.54</v>
      </c>
    </row>
    <row r="326" spans="1:13" x14ac:dyDescent="0.3">
      <c r="A326" t="s">
        <v>992</v>
      </c>
      <c r="B326" t="s">
        <v>228</v>
      </c>
      <c r="C326" s="1">
        <v>45776.038888888892</v>
      </c>
      <c r="D326" t="s">
        <v>29</v>
      </c>
      <c r="E326" t="s">
        <v>166</v>
      </c>
      <c r="F326">
        <v>206</v>
      </c>
      <c r="G326">
        <v>1230.1199999999999</v>
      </c>
      <c r="H326">
        <v>126.7</v>
      </c>
      <c r="I326" t="s">
        <v>84</v>
      </c>
      <c r="J326" t="s">
        <v>133</v>
      </c>
      <c r="L326" s="1">
        <v>45706</v>
      </c>
      <c r="M326" s="9">
        <f>Table11[[#This Row],[quantity]]*Table11[[#This Row],[price]]</f>
        <v>253404.71999999997</v>
      </c>
    </row>
    <row r="327" spans="1:13" x14ac:dyDescent="0.3">
      <c r="A327" t="s">
        <v>993</v>
      </c>
      <c r="B327" t="s">
        <v>553</v>
      </c>
      <c r="C327" s="1">
        <v>45671.040277777778</v>
      </c>
      <c r="D327" t="s">
        <v>41</v>
      </c>
      <c r="E327" t="s">
        <v>166</v>
      </c>
      <c r="F327">
        <v>978</v>
      </c>
      <c r="G327">
        <v>496.46</v>
      </c>
      <c r="H327">
        <v>242.77</v>
      </c>
      <c r="I327" t="s">
        <v>110</v>
      </c>
      <c r="J327" t="s">
        <v>118</v>
      </c>
      <c r="L327" s="1">
        <v>45821</v>
      </c>
      <c r="M327" s="9">
        <f>Table11[[#This Row],[quantity]]*Table11[[#This Row],[price]]</f>
        <v>485537.88</v>
      </c>
    </row>
    <row r="328" spans="1:13" x14ac:dyDescent="0.3">
      <c r="A328" t="s">
        <v>994</v>
      </c>
      <c r="B328" t="s">
        <v>318</v>
      </c>
      <c r="C328" s="1">
        <v>45672.011805555558</v>
      </c>
      <c r="D328" t="s">
        <v>37</v>
      </c>
      <c r="E328" t="s">
        <v>161</v>
      </c>
      <c r="F328">
        <v>455</v>
      </c>
      <c r="G328">
        <v>233.25</v>
      </c>
      <c r="H328">
        <v>53.06</v>
      </c>
      <c r="I328" t="s">
        <v>60</v>
      </c>
      <c r="J328" t="s">
        <v>139</v>
      </c>
      <c r="L328" s="1">
        <v>45720</v>
      </c>
      <c r="M328" s="9">
        <f>Table11[[#This Row],[quantity]]*Table11[[#This Row],[price]]</f>
        <v>106128.75</v>
      </c>
    </row>
    <row r="329" spans="1:13" x14ac:dyDescent="0.3">
      <c r="A329" t="s">
        <v>995</v>
      </c>
      <c r="B329" t="s">
        <v>169</v>
      </c>
      <c r="C329" s="1">
        <v>45706.013194444437</v>
      </c>
      <c r="D329" t="s">
        <v>37</v>
      </c>
      <c r="E329" t="s">
        <v>166</v>
      </c>
      <c r="F329">
        <v>854</v>
      </c>
      <c r="G329">
        <v>232.55</v>
      </c>
      <c r="H329">
        <v>99.3</v>
      </c>
      <c r="I329" t="s">
        <v>80</v>
      </c>
      <c r="J329" t="s">
        <v>124</v>
      </c>
      <c r="L329" s="1">
        <v>45719</v>
      </c>
      <c r="M329" s="9">
        <f>Table11[[#This Row],[quantity]]*Table11[[#This Row],[price]]</f>
        <v>198597.7</v>
      </c>
    </row>
    <row r="330" spans="1:13" x14ac:dyDescent="0.3">
      <c r="A330" t="s">
        <v>996</v>
      </c>
      <c r="B330" t="s">
        <v>284</v>
      </c>
      <c r="C330" s="1">
        <v>45762.026388888888</v>
      </c>
      <c r="D330" t="s">
        <v>27</v>
      </c>
      <c r="E330" t="s">
        <v>161</v>
      </c>
      <c r="F330">
        <v>449</v>
      </c>
      <c r="G330">
        <v>817.08</v>
      </c>
      <c r="H330">
        <v>183.43</v>
      </c>
      <c r="I330" t="s">
        <v>66</v>
      </c>
      <c r="J330" t="s">
        <v>115</v>
      </c>
      <c r="L330" s="1">
        <v>45699</v>
      </c>
      <c r="M330" s="9">
        <f>Table11[[#This Row],[quantity]]*Table11[[#This Row],[price]]</f>
        <v>366868.92000000004</v>
      </c>
    </row>
    <row r="331" spans="1:13" x14ac:dyDescent="0.3">
      <c r="A331" t="s">
        <v>997</v>
      </c>
      <c r="B331" t="s">
        <v>464</v>
      </c>
      <c r="C331" s="1">
        <v>45743.023611111108</v>
      </c>
      <c r="D331" t="s">
        <v>27</v>
      </c>
      <c r="E331" t="s">
        <v>161</v>
      </c>
      <c r="F331">
        <v>249</v>
      </c>
      <c r="G331">
        <v>757.69</v>
      </c>
      <c r="H331">
        <v>94.33</v>
      </c>
      <c r="I331" t="s">
        <v>94</v>
      </c>
      <c r="J331" t="s">
        <v>118</v>
      </c>
      <c r="L331" s="1">
        <v>45714</v>
      </c>
      <c r="M331" s="9">
        <f>Table11[[#This Row],[quantity]]*Table11[[#This Row],[price]]</f>
        <v>188664.81000000003</v>
      </c>
    </row>
    <row r="332" spans="1:13" x14ac:dyDescent="0.3">
      <c r="A332" t="s">
        <v>998</v>
      </c>
      <c r="B332" t="s">
        <v>340</v>
      </c>
      <c r="C332" s="1">
        <v>45824.001388888893</v>
      </c>
      <c r="D332" t="s">
        <v>37</v>
      </c>
      <c r="E332" t="s">
        <v>166</v>
      </c>
      <c r="F332">
        <v>301</v>
      </c>
      <c r="G332">
        <v>258.60000000000002</v>
      </c>
      <c r="H332">
        <v>38.92</v>
      </c>
      <c r="I332" t="s">
        <v>68</v>
      </c>
      <c r="J332" t="s">
        <v>130</v>
      </c>
      <c r="L332" s="1">
        <v>45742</v>
      </c>
      <c r="M332" s="9">
        <f>Table11[[#This Row],[quantity]]*Table11[[#This Row],[price]]</f>
        <v>77838.600000000006</v>
      </c>
    </row>
    <row r="333" spans="1:13" x14ac:dyDescent="0.3">
      <c r="A333" t="s">
        <v>999</v>
      </c>
      <c r="B333" t="s">
        <v>294</v>
      </c>
      <c r="C333" s="1">
        <v>45702.037499999999</v>
      </c>
      <c r="D333" t="s">
        <v>27</v>
      </c>
      <c r="E333" t="s">
        <v>161</v>
      </c>
      <c r="F333">
        <v>285</v>
      </c>
      <c r="G333">
        <v>732.48</v>
      </c>
      <c r="H333">
        <v>104.38</v>
      </c>
      <c r="I333" t="s">
        <v>62</v>
      </c>
      <c r="J333" t="s">
        <v>130</v>
      </c>
      <c r="L333" s="1">
        <v>45764</v>
      </c>
      <c r="M333" s="9">
        <f>Table11[[#This Row],[quantity]]*Table11[[#This Row],[price]]</f>
        <v>208756.80000000002</v>
      </c>
    </row>
    <row r="334" spans="1:13" x14ac:dyDescent="0.3">
      <c r="A334" t="s">
        <v>1000</v>
      </c>
      <c r="B334" t="s">
        <v>221</v>
      </c>
      <c r="C334" s="1">
        <v>45764.00277777778</v>
      </c>
      <c r="D334" t="s">
        <v>41</v>
      </c>
      <c r="E334" t="s">
        <v>166</v>
      </c>
      <c r="F334">
        <v>94</v>
      </c>
      <c r="G334">
        <v>582.11</v>
      </c>
      <c r="H334">
        <v>27.36</v>
      </c>
      <c r="I334" t="s">
        <v>104</v>
      </c>
      <c r="J334" t="s">
        <v>121</v>
      </c>
      <c r="L334" s="1">
        <v>45835</v>
      </c>
      <c r="M334" s="9">
        <f>Table11[[#This Row],[quantity]]*Table11[[#This Row],[price]]</f>
        <v>54718.340000000004</v>
      </c>
    </row>
    <row r="335" spans="1:13" x14ac:dyDescent="0.3">
      <c r="A335" t="s">
        <v>1001</v>
      </c>
      <c r="B335" t="s">
        <v>171</v>
      </c>
      <c r="C335" s="1">
        <v>45818.018750000003</v>
      </c>
      <c r="D335" t="s">
        <v>43</v>
      </c>
      <c r="E335" t="s">
        <v>161</v>
      </c>
      <c r="F335">
        <v>108</v>
      </c>
      <c r="G335">
        <v>1392.33</v>
      </c>
      <c r="H335">
        <v>75.19</v>
      </c>
      <c r="I335" t="s">
        <v>90</v>
      </c>
      <c r="J335" t="s">
        <v>133</v>
      </c>
      <c r="L335" s="1">
        <v>45681</v>
      </c>
      <c r="M335" s="9">
        <f>Table11[[#This Row],[quantity]]*Table11[[#This Row],[price]]</f>
        <v>150371.63999999998</v>
      </c>
    </row>
    <row r="336" spans="1:13" x14ac:dyDescent="0.3">
      <c r="A336" t="s">
        <v>1002</v>
      </c>
      <c r="B336" t="s">
        <v>594</v>
      </c>
      <c r="C336" s="1">
        <v>45708.011805555558</v>
      </c>
      <c r="D336" t="s">
        <v>35</v>
      </c>
      <c r="E336" t="s">
        <v>161</v>
      </c>
      <c r="F336">
        <v>128</v>
      </c>
      <c r="G336">
        <v>627.71</v>
      </c>
      <c r="H336">
        <v>40.17</v>
      </c>
      <c r="I336" t="s">
        <v>92</v>
      </c>
      <c r="J336" t="s">
        <v>142</v>
      </c>
      <c r="L336" s="1">
        <v>45744</v>
      </c>
      <c r="M336" s="9">
        <f>Table11[[#This Row],[quantity]]*Table11[[#This Row],[price]]</f>
        <v>80346.880000000005</v>
      </c>
    </row>
    <row r="337" spans="1:13" x14ac:dyDescent="0.3">
      <c r="A337" t="s">
        <v>1003</v>
      </c>
      <c r="B337" t="s">
        <v>265</v>
      </c>
      <c r="C337" s="1">
        <v>45813.034722222219</v>
      </c>
      <c r="D337" t="s">
        <v>39</v>
      </c>
      <c r="E337" t="s">
        <v>166</v>
      </c>
      <c r="F337">
        <v>247</v>
      </c>
      <c r="G337">
        <v>242.5</v>
      </c>
      <c r="H337">
        <v>29.95</v>
      </c>
      <c r="I337" t="s">
        <v>90</v>
      </c>
      <c r="J337" t="s">
        <v>142</v>
      </c>
      <c r="L337" s="1">
        <v>45705</v>
      </c>
      <c r="M337" s="9">
        <f>Table11[[#This Row],[quantity]]*Table11[[#This Row],[price]]</f>
        <v>59897.5</v>
      </c>
    </row>
    <row r="338" spans="1:13" x14ac:dyDescent="0.3">
      <c r="A338" t="s">
        <v>1004</v>
      </c>
      <c r="B338" t="s">
        <v>277</v>
      </c>
      <c r="C338" s="1">
        <v>45828.013888888891</v>
      </c>
      <c r="D338" t="s">
        <v>41</v>
      </c>
      <c r="E338" t="s">
        <v>166</v>
      </c>
      <c r="F338">
        <v>263</v>
      </c>
      <c r="G338">
        <v>603.33000000000004</v>
      </c>
      <c r="H338">
        <v>79.34</v>
      </c>
      <c r="I338" t="s">
        <v>78</v>
      </c>
      <c r="J338" t="s">
        <v>136</v>
      </c>
      <c r="L338" s="1">
        <v>45792</v>
      </c>
      <c r="M338" s="9">
        <f>Table11[[#This Row],[quantity]]*Table11[[#This Row],[price]]</f>
        <v>158675.79</v>
      </c>
    </row>
    <row r="339" spans="1:13" x14ac:dyDescent="0.3">
      <c r="A339" t="s">
        <v>1005</v>
      </c>
      <c r="B339" t="s">
        <v>344</v>
      </c>
      <c r="C339" s="1">
        <v>45783.03125</v>
      </c>
      <c r="D339" t="s">
        <v>41</v>
      </c>
      <c r="E339" t="s">
        <v>166</v>
      </c>
      <c r="F339">
        <v>936</v>
      </c>
      <c r="G339">
        <v>601.14</v>
      </c>
      <c r="H339">
        <v>281.33</v>
      </c>
      <c r="I339" t="s">
        <v>106</v>
      </c>
      <c r="J339" t="s">
        <v>130</v>
      </c>
      <c r="L339" s="1">
        <v>45793</v>
      </c>
      <c r="M339" s="9">
        <f>Table11[[#This Row],[quantity]]*Table11[[#This Row],[price]]</f>
        <v>562667.04</v>
      </c>
    </row>
    <row r="340" spans="1:13" x14ac:dyDescent="0.3">
      <c r="A340" t="s">
        <v>1006</v>
      </c>
      <c r="B340" t="s">
        <v>612</v>
      </c>
      <c r="C340" s="1">
        <v>45791.029166666667</v>
      </c>
      <c r="D340" t="s">
        <v>29</v>
      </c>
      <c r="E340" t="s">
        <v>161</v>
      </c>
      <c r="F340">
        <v>866</v>
      </c>
      <c r="G340">
        <v>1231.44</v>
      </c>
      <c r="H340">
        <v>533.21</v>
      </c>
      <c r="I340" t="s">
        <v>110</v>
      </c>
      <c r="J340" t="s">
        <v>130</v>
      </c>
      <c r="L340" s="1">
        <v>45712</v>
      </c>
      <c r="M340" s="9">
        <f>Table11[[#This Row],[quantity]]*Table11[[#This Row],[price]]</f>
        <v>1066427.04</v>
      </c>
    </row>
    <row r="341" spans="1:13" x14ac:dyDescent="0.3">
      <c r="A341" t="s">
        <v>1007</v>
      </c>
      <c r="B341" t="s">
        <v>385</v>
      </c>
      <c r="C341" s="1">
        <v>45743.036111111112</v>
      </c>
      <c r="D341" t="s">
        <v>27</v>
      </c>
      <c r="E341" t="s">
        <v>161</v>
      </c>
      <c r="F341">
        <v>974</v>
      </c>
      <c r="G341">
        <v>756.7</v>
      </c>
      <c r="H341">
        <v>368.51</v>
      </c>
      <c r="I341" t="s">
        <v>78</v>
      </c>
      <c r="J341" t="s">
        <v>142</v>
      </c>
      <c r="L341" s="1">
        <v>45751</v>
      </c>
      <c r="M341" s="9">
        <f>Table11[[#This Row],[quantity]]*Table11[[#This Row],[price]]</f>
        <v>737025.8</v>
      </c>
    </row>
    <row r="342" spans="1:13" x14ac:dyDescent="0.3">
      <c r="A342" t="s">
        <v>1008</v>
      </c>
      <c r="B342" t="s">
        <v>548</v>
      </c>
      <c r="C342" s="1">
        <v>45826.024305555547</v>
      </c>
      <c r="D342" t="s">
        <v>32</v>
      </c>
      <c r="E342" t="s">
        <v>161</v>
      </c>
      <c r="F342">
        <v>853</v>
      </c>
      <c r="G342">
        <v>2146.52</v>
      </c>
      <c r="H342">
        <v>915.49</v>
      </c>
      <c r="I342" t="s">
        <v>48</v>
      </c>
      <c r="J342" t="s">
        <v>124</v>
      </c>
      <c r="L342" s="1">
        <v>45712</v>
      </c>
      <c r="M342" s="9">
        <f>Table11[[#This Row],[quantity]]*Table11[[#This Row],[price]]</f>
        <v>1830981.56</v>
      </c>
    </row>
    <row r="343" spans="1:13" x14ac:dyDescent="0.3">
      <c r="A343" t="s">
        <v>1009</v>
      </c>
      <c r="B343" t="s">
        <v>258</v>
      </c>
      <c r="C343" s="1">
        <v>45721.017361111109</v>
      </c>
      <c r="D343" t="s">
        <v>43</v>
      </c>
      <c r="E343" t="s">
        <v>161</v>
      </c>
      <c r="F343">
        <v>799</v>
      </c>
      <c r="G343">
        <v>1063.53</v>
      </c>
      <c r="H343">
        <v>424.88</v>
      </c>
      <c r="I343" t="s">
        <v>62</v>
      </c>
      <c r="J343" t="s">
        <v>127</v>
      </c>
      <c r="L343" s="1">
        <v>45798</v>
      </c>
      <c r="M343" s="9">
        <f>Table11[[#This Row],[quantity]]*Table11[[#This Row],[price]]</f>
        <v>849760.47</v>
      </c>
    </row>
    <row r="344" spans="1:13" x14ac:dyDescent="0.3">
      <c r="A344" t="s">
        <v>1010</v>
      </c>
      <c r="B344" t="s">
        <v>550</v>
      </c>
      <c r="C344" s="1">
        <v>45762.031944444447</v>
      </c>
      <c r="D344" t="s">
        <v>39</v>
      </c>
      <c r="E344" t="s">
        <v>166</v>
      </c>
      <c r="F344">
        <v>895</v>
      </c>
      <c r="G344">
        <v>243.78</v>
      </c>
      <c r="H344">
        <v>109.09</v>
      </c>
      <c r="I344" t="s">
        <v>74</v>
      </c>
      <c r="J344" t="s">
        <v>124</v>
      </c>
      <c r="L344" s="1">
        <v>45693</v>
      </c>
      <c r="M344" s="9">
        <f>Table11[[#This Row],[quantity]]*Table11[[#This Row],[price]]</f>
        <v>218183.1</v>
      </c>
    </row>
    <row r="345" spans="1:13" x14ac:dyDescent="0.3">
      <c r="A345" t="s">
        <v>1011</v>
      </c>
      <c r="B345" t="s">
        <v>169</v>
      </c>
      <c r="C345" s="1">
        <v>45743.03402777778</v>
      </c>
      <c r="D345" t="s">
        <v>41</v>
      </c>
      <c r="E345" t="s">
        <v>166</v>
      </c>
      <c r="F345">
        <v>32</v>
      </c>
      <c r="G345">
        <v>578.16</v>
      </c>
      <c r="H345">
        <v>9.25</v>
      </c>
      <c r="I345" t="s">
        <v>102</v>
      </c>
      <c r="J345" t="s">
        <v>130</v>
      </c>
      <c r="L345" s="1">
        <v>45688</v>
      </c>
      <c r="M345" s="9">
        <f>Table11[[#This Row],[quantity]]*Table11[[#This Row],[price]]</f>
        <v>18501.12</v>
      </c>
    </row>
    <row r="346" spans="1:13" x14ac:dyDescent="0.3">
      <c r="A346" t="s">
        <v>1012</v>
      </c>
      <c r="B346" t="s">
        <v>176</v>
      </c>
      <c r="C346" s="1">
        <v>45814.020138888889</v>
      </c>
      <c r="D346" t="s">
        <v>29</v>
      </c>
      <c r="E346" t="s">
        <v>166</v>
      </c>
      <c r="F346">
        <v>53</v>
      </c>
      <c r="G346">
        <v>1185.76</v>
      </c>
      <c r="H346">
        <v>31.42</v>
      </c>
      <c r="I346" t="s">
        <v>108</v>
      </c>
      <c r="J346" t="s">
        <v>115</v>
      </c>
      <c r="L346" s="1">
        <v>45714</v>
      </c>
      <c r="M346" s="9">
        <f>Table11[[#This Row],[quantity]]*Table11[[#This Row],[price]]</f>
        <v>62845.279999999999</v>
      </c>
    </row>
    <row r="347" spans="1:13" x14ac:dyDescent="0.3">
      <c r="A347" t="s">
        <v>1013</v>
      </c>
      <c r="B347" t="s">
        <v>574</v>
      </c>
      <c r="C347" s="1">
        <v>45807.029861111107</v>
      </c>
      <c r="D347" t="s">
        <v>39</v>
      </c>
      <c r="E347" t="s">
        <v>161</v>
      </c>
      <c r="F347">
        <v>228</v>
      </c>
      <c r="G347">
        <v>247.07</v>
      </c>
      <c r="H347">
        <v>28.17</v>
      </c>
      <c r="I347" t="s">
        <v>80</v>
      </c>
      <c r="J347" t="s">
        <v>142</v>
      </c>
      <c r="L347" s="1">
        <v>45792</v>
      </c>
      <c r="M347" s="9">
        <f>Table11[[#This Row],[quantity]]*Table11[[#This Row],[price]]</f>
        <v>56331.96</v>
      </c>
    </row>
    <row r="348" spans="1:13" x14ac:dyDescent="0.3">
      <c r="A348" t="s">
        <v>1014</v>
      </c>
      <c r="B348" t="s">
        <v>475</v>
      </c>
      <c r="C348" s="1">
        <v>45672.027777777781</v>
      </c>
      <c r="D348" t="s">
        <v>29</v>
      </c>
      <c r="E348" t="s">
        <v>166</v>
      </c>
      <c r="F348">
        <v>879</v>
      </c>
      <c r="G348">
        <v>1193.78</v>
      </c>
      <c r="H348">
        <v>524.66999999999996</v>
      </c>
      <c r="I348" t="s">
        <v>70</v>
      </c>
      <c r="J348" t="s">
        <v>130</v>
      </c>
      <c r="L348" s="1">
        <v>45825</v>
      </c>
      <c r="M348" s="9">
        <f>Table11[[#This Row],[quantity]]*Table11[[#This Row],[price]]</f>
        <v>1049332.6199999999</v>
      </c>
    </row>
    <row r="349" spans="1:13" x14ac:dyDescent="0.3">
      <c r="A349" t="s">
        <v>1015</v>
      </c>
      <c r="B349" t="s">
        <v>178</v>
      </c>
      <c r="C349" s="1">
        <v>45713.008333333331</v>
      </c>
      <c r="D349" t="s">
        <v>39</v>
      </c>
      <c r="E349" t="s">
        <v>166</v>
      </c>
      <c r="F349">
        <v>796</v>
      </c>
      <c r="G349">
        <v>233.49</v>
      </c>
      <c r="H349">
        <v>92.93</v>
      </c>
      <c r="I349" t="s">
        <v>102</v>
      </c>
      <c r="J349" t="s">
        <v>118</v>
      </c>
      <c r="L349" s="1">
        <v>45736</v>
      </c>
      <c r="M349" s="9">
        <f>Table11[[#This Row],[quantity]]*Table11[[#This Row],[price]]</f>
        <v>185858.04</v>
      </c>
    </row>
    <row r="350" spans="1:13" x14ac:dyDescent="0.3">
      <c r="A350" t="s">
        <v>1016</v>
      </c>
      <c r="B350" t="s">
        <v>261</v>
      </c>
      <c r="C350" s="1">
        <v>45665.020833333343</v>
      </c>
      <c r="D350" t="s">
        <v>41</v>
      </c>
      <c r="E350" t="s">
        <v>166</v>
      </c>
      <c r="F350">
        <v>793</v>
      </c>
      <c r="G350">
        <v>468.06</v>
      </c>
      <c r="H350">
        <v>185.59</v>
      </c>
      <c r="I350" t="s">
        <v>84</v>
      </c>
      <c r="J350" t="s">
        <v>118</v>
      </c>
      <c r="L350" s="1">
        <v>45798</v>
      </c>
      <c r="M350" s="9">
        <f>Table11[[#This Row],[quantity]]*Table11[[#This Row],[price]]</f>
        <v>371171.58</v>
      </c>
    </row>
    <row r="351" spans="1:13" x14ac:dyDescent="0.3">
      <c r="A351" t="s">
        <v>1017</v>
      </c>
      <c r="B351" t="s">
        <v>579</v>
      </c>
      <c r="C351" s="1">
        <v>45756.03402777778</v>
      </c>
      <c r="D351" t="s">
        <v>41</v>
      </c>
      <c r="E351" t="s">
        <v>166</v>
      </c>
      <c r="F351">
        <v>887</v>
      </c>
      <c r="G351">
        <v>570.15</v>
      </c>
      <c r="H351">
        <v>252.86</v>
      </c>
      <c r="I351" t="s">
        <v>96</v>
      </c>
      <c r="J351" t="s">
        <v>127</v>
      </c>
      <c r="L351" s="1">
        <v>45733</v>
      </c>
      <c r="M351" s="9">
        <f>Table11[[#This Row],[quantity]]*Table11[[#This Row],[price]]</f>
        <v>505723.05</v>
      </c>
    </row>
    <row r="352" spans="1:13" x14ac:dyDescent="0.3">
      <c r="A352" t="s">
        <v>1018</v>
      </c>
      <c r="B352" t="s">
        <v>632</v>
      </c>
      <c r="C352" s="1">
        <v>45691.002083333333</v>
      </c>
      <c r="D352" t="s">
        <v>32</v>
      </c>
      <c r="E352" t="s">
        <v>161</v>
      </c>
      <c r="F352">
        <v>320</v>
      </c>
      <c r="G352">
        <v>2103.85</v>
      </c>
      <c r="H352">
        <v>336.62</v>
      </c>
      <c r="I352" t="s">
        <v>78</v>
      </c>
      <c r="J352" t="s">
        <v>124</v>
      </c>
      <c r="L352" s="1">
        <v>45826</v>
      </c>
      <c r="M352" s="9">
        <f>Table11[[#This Row],[quantity]]*Table11[[#This Row],[price]]</f>
        <v>673232</v>
      </c>
    </row>
    <row r="353" spans="1:13" x14ac:dyDescent="0.3">
      <c r="A353" t="s">
        <v>1019</v>
      </c>
      <c r="B353" t="s">
        <v>314</v>
      </c>
      <c r="C353" s="1">
        <v>45688.003472222219</v>
      </c>
      <c r="D353" t="s">
        <v>39</v>
      </c>
      <c r="E353" t="s">
        <v>161</v>
      </c>
      <c r="F353">
        <v>604</v>
      </c>
      <c r="G353">
        <v>238.02</v>
      </c>
      <c r="H353">
        <v>71.88</v>
      </c>
      <c r="I353" t="s">
        <v>106</v>
      </c>
      <c r="J353" t="s">
        <v>133</v>
      </c>
      <c r="L353" s="1">
        <v>45677</v>
      </c>
      <c r="M353" s="9">
        <f>Table11[[#This Row],[quantity]]*Table11[[#This Row],[price]]</f>
        <v>143764.08000000002</v>
      </c>
    </row>
    <row r="354" spans="1:13" x14ac:dyDescent="0.3">
      <c r="A354" t="s">
        <v>1020</v>
      </c>
      <c r="B354" t="s">
        <v>422</v>
      </c>
      <c r="C354" s="1">
        <v>45835.003472222219</v>
      </c>
      <c r="D354" t="s">
        <v>41</v>
      </c>
      <c r="E354" t="s">
        <v>166</v>
      </c>
      <c r="F354">
        <v>711</v>
      </c>
      <c r="G354">
        <v>585.70000000000005</v>
      </c>
      <c r="H354">
        <v>208.22</v>
      </c>
      <c r="I354" t="s">
        <v>98</v>
      </c>
      <c r="J354" t="s">
        <v>124</v>
      </c>
      <c r="L354" s="1">
        <v>45658</v>
      </c>
      <c r="M354" s="9">
        <f>Table11[[#This Row],[quantity]]*Table11[[#This Row],[price]]</f>
        <v>416432.7</v>
      </c>
    </row>
    <row r="355" spans="1:13" x14ac:dyDescent="0.3">
      <c r="A355" t="s">
        <v>1021</v>
      </c>
      <c r="B355" t="s">
        <v>400</v>
      </c>
      <c r="C355" s="1">
        <v>45679.015972222223</v>
      </c>
      <c r="D355" t="s">
        <v>37</v>
      </c>
      <c r="E355" t="s">
        <v>161</v>
      </c>
      <c r="F355">
        <v>432</v>
      </c>
      <c r="G355">
        <v>236.31</v>
      </c>
      <c r="H355">
        <v>51.04</v>
      </c>
      <c r="I355" t="s">
        <v>106</v>
      </c>
      <c r="J355" t="s">
        <v>136</v>
      </c>
      <c r="L355" s="1">
        <v>45821</v>
      </c>
      <c r="M355" s="9">
        <f>Table11[[#This Row],[quantity]]*Table11[[#This Row],[price]]</f>
        <v>102085.92</v>
      </c>
    </row>
    <row r="356" spans="1:13" x14ac:dyDescent="0.3">
      <c r="A356" t="s">
        <v>1022</v>
      </c>
      <c r="B356" t="s">
        <v>571</v>
      </c>
      <c r="C356" s="1">
        <v>45799.034722222219</v>
      </c>
      <c r="D356" t="s">
        <v>29</v>
      </c>
      <c r="E356" t="s">
        <v>166</v>
      </c>
      <c r="F356">
        <v>913</v>
      </c>
      <c r="G356">
        <v>1254.46</v>
      </c>
      <c r="H356">
        <v>572.66</v>
      </c>
      <c r="I356" t="s">
        <v>66</v>
      </c>
      <c r="J356" t="s">
        <v>136</v>
      </c>
      <c r="L356" s="1">
        <v>45727</v>
      </c>
      <c r="M356" s="9">
        <f>Table11[[#This Row],[quantity]]*Table11[[#This Row],[price]]</f>
        <v>1145321.98</v>
      </c>
    </row>
    <row r="357" spans="1:13" x14ac:dyDescent="0.3">
      <c r="A357" t="s">
        <v>1023</v>
      </c>
      <c r="B357" t="s">
        <v>542</v>
      </c>
      <c r="C357" s="1">
        <v>45800.03125</v>
      </c>
      <c r="D357" t="s">
        <v>35</v>
      </c>
      <c r="E357" t="s">
        <v>161</v>
      </c>
      <c r="F357">
        <v>988</v>
      </c>
      <c r="G357">
        <v>666.38</v>
      </c>
      <c r="H357">
        <v>329.19</v>
      </c>
      <c r="I357" t="s">
        <v>57</v>
      </c>
      <c r="J357" t="s">
        <v>124</v>
      </c>
      <c r="L357" s="1">
        <v>45800</v>
      </c>
      <c r="M357" s="9">
        <f>Table11[[#This Row],[quantity]]*Table11[[#This Row],[price]]</f>
        <v>658383.43999999994</v>
      </c>
    </row>
    <row r="358" spans="1:13" x14ac:dyDescent="0.3">
      <c r="A358" t="s">
        <v>1024</v>
      </c>
      <c r="B358" t="s">
        <v>322</v>
      </c>
      <c r="C358" s="1">
        <v>45751.000694444447</v>
      </c>
      <c r="D358" t="s">
        <v>35</v>
      </c>
      <c r="E358" t="s">
        <v>161</v>
      </c>
      <c r="F358">
        <v>707</v>
      </c>
      <c r="G358">
        <v>651.9</v>
      </c>
      <c r="H358">
        <v>230.45</v>
      </c>
      <c r="I358" t="s">
        <v>100</v>
      </c>
      <c r="J358" t="s">
        <v>115</v>
      </c>
      <c r="L358" s="1">
        <v>45825</v>
      </c>
      <c r="M358" s="9">
        <f>Table11[[#This Row],[quantity]]*Table11[[#This Row],[price]]</f>
        <v>460893.3</v>
      </c>
    </row>
    <row r="359" spans="1:13" x14ac:dyDescent="0.3">
      <c r="A359" t="s">
        <v>1025</v>
      </c>
      <c r="B359" t="s">
        <v>370</v>
      </c>
      <c r="C359" s="1">
        <v>45818.022916666669</v>
      </c>
      <c r="D359" t="s">
        <v>29</v>
      </c>
      <c r="E359" t="s">
        <v>166</v>
      </c>
      <c r="F359">
        <v>783</v>
      </c>
      <c r="G359">
        <v>1215.01</v>
      </c>
      <c r="H359">
        <v>475.68</v>
      </c>
      <c r="I359" t="s">
        <v>78</v>
      </c>
      <c r="J359" t="s">
        <v>115</v>
      </c>
      <c r="L359" s="1">
        <v>45747</v>
      </c>
      <c r="M359" s="9">
        <f>Table11[[#This Row],[quantity]]*Table11[[#This Row],[price]]</f>
        <v>951352.83</v>
      </c>
    </row>
    <row r="360" spans="1:13" x14ac:dyDescent="0.3">
      <c r="A360" t="s">
        <v>1026</v>
      </c>
      <c r="B360" t="s">
        <v>417</v>
      </c>
      <c r="C360" s="1">
        <v>45798.040277777778</v>
      </c>
      <c r="D360" t="s">
        <v>41</v>
      </c>
      <c r="E360" t="s">
        <v>166</v>
      </c>
      <c r="F360">
        <v>349</v>
      </c>
      <c r="G360">
        <v>596.24</v>
      </c>
      <c r="H360">
        <v>104.04</v>
      </c>
      <c r="I360" t="s">
        <v>48</v>
      </c>
      <c r="J360" t="s">
        <v>136</v>
      </c>
      <c r="L360" s="1">
        <v>45824</v>
      </c>
      <c r="M360" s="9">
        <f>Table11[[#This Row],[quantity]]*Table11[[#This Row],[price]]</f>
        <v>208087.76</v>
      </c>
    </row>
    <row r="361" spans="1:13" x14ac:dyDescent="0.3">
      <c r="A361" t="s">
        <v>1027</v>
      </c>
      <c r="B361" t="s">
        <v>355</v>
      </c>
      <c r="C361" s="1">
        <v>45730.038194444453</v>
      </c>
      <c r="D361" t="s">
        <v>35</v>
      </c>
      <c r="E361" t="s">
        <v>166</v>
      </c>
      <c r="F361">
        <v>666</v>
      </c>
      <c r="G361">
        <v>643.51</v>
      </c>
      <c r="H361">
        <v>214.29</v>
      </c>
      <c r="I361" t="s">
        <v>78</v>
      </c>
      <c r="J361" t="s">
        <v>136</v>
      </c>
      <c r="L361" s="1">
        <v>45663</v>
      </c>
      <c r="M361" s="9">
        <f>Table11[[#This Row],[quantity]]*Table11[[#This Row],[price]]</f>
        <v>428577.66</v>
      </c>
    </row>
    <row r="362" spans="1:13" x14ac:dyDescent="0.3">
      <c r="A362" t="s">
        <v>1028</v>
      </c>
      <c r="B362" t="s">
        <v>296</v>
      </c>
      <c r="C362" s="1">
        <v>45663.024305555547</v>
      </c>
      <c r="D362" t="s">
        <v>35</v>
      </c>
      <c r="E362" t="s">
        <v>166</v>
      </c>
      <c r="F362">
        <v>685</v>
      </c>
      <c r="G362">
        <v>605.70000000000005</v>
      </c>
      <c r="H362">
        <v>207.45</v>
      </c>
      <c r="I362" t="s">
        <v>106</v>
      </c>
      <c r="J362" t="s">
        <v>133</v>
      </c>
      <c r="L362" s="1">
        <v>45779</v>
      </c>
      <c r="M362" s="9">
        <f>Table11[[#This Row],[quantity]]*Table11[[#This Row],[price]]</f>
        <v>414904.50000000006</v>
      </c>
    </row>
    <row r="363" spans="1:13" x14ac:dyDescent="0.3">
      <c r="A363" t="s">
        <v>1029</v>
      </c>
      <c r="B363" t="s">
        <v>196</v>
      </c>
      <c r="C363" s="1">
        <v>45677.026388888888</v>
      </c>
      <c r="D363" t="s">
        <v>43</v>
      </c>
      <c r="E363" t="s">
        <v>161</v>
      </c>
      <c r="F363">
        <v>65</v>
      </c>
      <c r="G363">
        <v>963.26</v>
      </c>
      <c r="H363">
        <v>31.31</v>
      </c>
      <c r="I363" t="s">
        <v>76</v>
      </c>
      <c r="J363" t="s">
        <v>142</v>
      </c>
      <c r="L363" s="1">
        <v>45658</v>
      </c>
      <c r="M363" s="9">
        <f>Table11[[#This Row],[quantity]]*Table11[[#This Row],[price]]</f>
        <v>62611.9</v>
      </c>
    </row>
    <row r="364" spans="1:13" x14ac:dyDescent="0.3">
      <c r="A364" t="s">
        <v>1030</v>
      </c>
      <c r="B364" t="s">
        <v>307</v>
      </c>
      <c r="C364" s="1">
        <v>45684.027777777781</v>
      </c>
      <c r="D364" t="s">
        <v>29</v>
      </c>
      <c r="E364" t="s">
        <v>166</v>
      </c>
      <c r="F364">
        <v>362</v>
      </c>
      <c r="G364">
        <v>1233.1099999999999</v>
      </c>
      <c r="H364">
        <v>223.19</v>
      </c>
      <c r="I364" t="s">
        <v>57</v>
      </c>
      <c r="J364" t="s">
        <v>136</v>
      </c>
      <c r="L364" s="1">
        <v>45827</v>
      </c>
      <c r="M364" s="9">
        <f>Table11[[#This Row],[quantity]]*Table11[[#This Row],[price]]</f>
        <v>446385.81999999995</v>
      </c>
    </row>
    <row r="365" spans="1:13" x14ac:dyDescent="0.3">
      <c r="A365" t="s">
        <v>1031</v>
      </c>
      <c r="B365" t="s">
        <v>344</v>
      </c>
      <c r="C365" s="1">
        <v>45826.039583333331</v>
      </c>
      <c r="D365" t="s">
        <v>41</v>
      </c>
      <c r="E365" t="s">
        <v>161</v>
      </c>
      <c r="F365">
        <v>393</v>
      </c>
      <c r="G365">
        <v>620.23</v>
      </c>
      <c r="H365">
        <v>121.88</v>
      </c>
      <c r="I365" t="s">
        <v>100</v>
      </c>
      <c r="J365" t="s">
        <v>127</v>
      </c>
      <c r="L365" s="1">
        <v>45742</v>
      </c>
      <c r="M365" s="9">
        <f>Table11[[#This Row],[quantity]]*Table11[[#This Row],[price]]</f>
        <v>243750.39</v>
      </c>
    </row>
    <row r="366" spans="1:13" x14ac:dyDescent="0.3">
      <c r="A366" t="s">
        <v>1032</v>
      </c>
      <c r="B366" t="s">
        <v>427</v>
      </c>
      <c r="C366" s="1">
        <v>45673.037499999999</v>
      </c>
      <c r="D366" t="s">
        <v>37</v>
      </c>
      <c r="E366" t="s">
        <v>166</v>
      </c>
      <c r="F366">
        <v>165</v>
      </c>
      <c r="G366">
        <v>233.9</v>
      </c>
      <c r="H366">
        <v>19.3</v>
      </c>
      <c r="I366" t="s">
        <v>80</v>
      </c>
      <c r="J366" t="s">
        <v>118</v>
      </c>
      <c r="L366" s="1">
        <v>45728</v>
      </c>
      <c r="M366" s="9">
        <f>Table11[[#This Row],[quantity]]*Table11[[#This Row],[price]]</f>
        <v>38593.5</v>
      </c>
    </row>
    <row r="367" spans="1:13" x14ac:dyDescent="0.3">
      <c r="A367" t="s">
        <v>1033</v>
      </c>
      <c r="B367" t="s">
        <v>659</v>
      </c>
      <c r="C367" s="1">
        <v>45826.018055555563</v>
      </c>
      <c r="D367" t="s">
        <v>29</v>
      </c>
      <c r="E367" t="s">
        <v>161</v>
      </c>
      <c r="F367">
        <v>747</v>
      </c>
      <c r="G367">
        <v>1292.8399999999999</v>
      </c>
      <c r="H367">
        <v>482.88</v>
      </c>
      <c r="I367" t="s">
        <v>108</v>
      </c>
      <c r="J367" t="s">
        <v>136</v>
      </c>
      <c r="L367" s="1">
        <v>45782</v>
      </c>
      <c r="M367" s="9">
        <f>Table11[[#This Row],[quantity]]*Table11[[#This Row],[price]]</f>
        <v>965751.48</v>
      </c>
    </row>
    <row r="368" spans="1:13" x14ac:dyDescent="0.3">
      <c r="A368" t="s">
        <v>1034</v>
      </c>
      <c r="B368" t="s">
        <v>591</v>
      </c>
      <c r="C368" s="1">
        <v>45688.040972222218</v>
      </c>
      <c r="D368" t="s">
        <v>37</v>
      </c>
      <c r="E368" t="s">
        <v>166</v>
      </c>
      <c r="F368">
        <v>164</v>
      </c>
      <c r="G368">
        <v>230.11</v>
      </c>
      <c r="H368">
        <v>18.87</v>
      </c>
      <c r="I368" t="s">
        <v>48</v>
      </c>
      <c r="J368" t="s">
        <v>130</v>
      </c>
      <c r="L368" s="1">
        <v>45810</v>
      </c>
      <c r="M368" s="9">
        <f>Table11[[#This Row],[quantity]]*Table11[[#This Row],[price]]</f>
        <v>37738.04</v>
      </c>
    </row>
    <row r="369" spans="1:13" x14ac:dyDescent="0.3">
      <c r="A369" t="s">
        <v>1035</v>
      </c>
      <c r="B369" t="s">
        <v>293</v>
      </c>
      <c r="C369" s="1">
        <v>45832.018055555563</v>
      </c>
      <c r="D369" t="s">
        <v>32</v>
      </c>
      <c r="E369" t="s">
        <v>161</v>
      </c>
      <c r="F369">
        <v>88</v>
      </c>
      <c r="G369">
        <v>2151.34</v>
      </c>
      <c r="H369">
        <v>94.66</v>
      </c>
      <c r="I369" t="s">
        <v>72</v>
      </c>
      <c r="J369" t="s">
        <v>139</v>
      </c>
      <c r="L369" s="1">
        <v>45688</v>
      </c>
      <c r="M369" s="9">
        <f>Table11[[#This Row],[quantity]]*Table11[[#This Row],[price]]</f>
        <v>189317.92</v>
      </c>
    </row>
    <row r="370" spans="1:13" x14ac:dyDescent="0.3">
      <c r="A370" t="s">
        <v>1036</v>
      </c>
      <c r="B370" t="s">
        <v>334</v>
      </c>
      <c r="C370" s="1">
        <v>45805.005555555559</v>
      </c>
      <c r="D370" t="s">
        <v>41</v>
      </c>
      <c r="E370" t="s">
        <v>161</v>
      </c>
      <c r="F370">
        <v>202</v>
      </c>
      <c r="G370">
        <v>614.87</v>
      </c>
      <c r="H370">
        <v>62.1</v>
      </c>
      <c r="I370" t="s">
        <v>96</v>
      </c>
      <c r="J370" t="s">
        <v>133</v>
      </c>
      <c r="L370" s="1">
        <v>45748</v>
      </c>
      <c r="M370" s="9">
        <f>Table11[[#This Row],[quantity]]*Table11[[#This Row],[price]]</f>
        <v>124203.74</v>
      </c>
    </row>
    <row r="371" spans="1:13" x14ac:dyDescent="0.3">
      <c r="A371" t="s">
        <v>1037</v>
      </c>
      <c r="B371" t="s">
        <v>381</v>
      </c>
      <c r="C371" s="1">
        <v>45707.021527777782</v>
      </c>
      <c r="D371" t="s">
        <v>41</v>
      </c>
      <c r="E371" t="s">
        <v>166</v>
      </c>
      <c r="F371">
        <v>573</v>
      </c>
      <c r="G371">
        <v>544.72</v>
      </c>
      <c r="H371">
        <v>156.06</v>
      </c>
      <c r="I371" t="s">
        <v>96</v>
      </c>
      <c r="J371" t="s">
        <v>133</v>
      </c>
      <c r="L371" s="1">
        <v>45765</v>
      </c>
      <c r="M371" s="9">
        <f>Table11[[#This Row],[quantity]]*Table11[[#This Row],[price]]</f>
        <v>312124.56</v>
      </c>
    </row>
    <row r="372" spans="1:13" x14ac:dyDescent="0.3">
      <c r="A372" t="s">
        <v>1038</v>
      </c>
      <c r="B372" t="s">
        <v>296</v>
      </c>
      <c r="C372" s="1">
        <v>45835.030555555553</v>
      </c>
      <c r="D372" t="s">
        <v>35</v>
      </c>
      <c r="E372" t="s">
        <v>166</v>
      </c>
      <c r="F372">
        <v>296</v>
      </c>
      <c r="G372">
        <v>676.3</v>
      </c>
      <c r="H372">
        <v>100.09</v>
      </c>
      <c r="I372" t="s">
        <v>76</v>
      </c>
      <c r="J372" t="s">
        <v>124</v>
      </c>
      <c r="L372" s="1">
        <v>45712</v>
      </c>
      <c r="M372" s="9">
        <f>Table11[[#This Row],[quantity]]*Table11[[#This Row],[price]]</f>
        <v>200184.8</v>
      </c>
    </row>
    <row r="373" spans="1:13" x14ac:dyDescent="0.3">
      <c r="A373" t="s">
        <v>1039</v>
      </c>
      <c r="B373" t="s">
        <v>184</v>
      </c>
      <c r="C373" s="1">
        <v>45750.040972222218</v>
      </c>
      <c r="D373" t="s">
        <v>27</v>
      </c>
      <c r="E373" t="s">
        <v>161</v>
      </c>
      <c r="F373">
        <v>65</v>
      </c>
      <c r="G373">
        <v>828.99</v>
      </c>
      <c r="H373">
        <v>26.94</v>
      </c>
      <c r="I373" t="s">
        <v>82</v>
      </c>
      <c r="J373" t="s">
        <v>133</v>
      </c>
      <c r="L373" s="1">
        <v>45747</v>
      </c>
      <c r="M373" s="9">
        <f>Table11[[#This Row],[quantity]]*Table11[[#This Row],[price]]</f>
        <v>53884.35</v>
      </c>
    </row>
    <row r="374" spans="1:13" x14ac:dyDescent="0.3">
      <c r="A374" t="s">
        <v>1040</v>
      </c>
      <c r="B374" t="s">
        <v>399</v>
      </c>
      <c r="C374" s="1">
        <v>45722.026388888888</v>
      </c>
      <c r="D374" t="s">
        <v>27</v>
      </c>
      <c r="E374" t="s">
        <v>166</v>
      </c>
      <c r="F374">
        <v>66</v>
      </c>
      <c r="G374">
        <v>747</v>
      </c>
      <c r="H374">
        <v>24.65</v>
      </c>
      <c r="I374" t="s">
        <v>51</v>
      </c>
      <c r="J374" t="s">
        <v>133</v>
      </c>
      <c r="L374" s="1">
        <v>45819</v>
      </c>
      <c r="M374" s="9">
        <f>Table11[[#This Row],[quantity]]*Table11[[#This Row],[price]]</f>
        <v>49302</v>
      </c>
    </row>
    <row r="375" spans="1:13" x14ac:dyDescent="0.3">
      <c r="A375" t="s">
        <v>1041</v>
      </c>
      <c r="B375" t="s">
        <v>528</v>
      </c>
      <c r="C375" s="1">
        <v>45789.002083333333</v>
      </c>
      <c r="D375" t="s">
        <v>39</v>
      </c>
      <c r="E375" t="s">
        <v>166</v>
      </c>
      <c r="F375">
        <v>819</v>
      </c>
      <c r="G375">
        <v>225.61</v>
      </c>
      <c r="H375">
        <v>92.39</v>
      </c>
      <c r="I375" t="s">
        <v>86</v>
      </c>
      <c r="J375" t="s">
        <v>115</v>
      </c>
      <c r="L375" s="1">
        <v>45730</v>
      </c>
      <c r="M375" s="9">
        <f>Table11[[#This Row],[quantity]]*Table11[[#This Row],[price]]</f>
        <v>184774.59000000003</v>
      </c>
    </row>
    <row r="376" spans="1:13" x14ac:dyDescent="0.3">
      <c r="A376" t="s">
        <v>1042</v>
      </c>
      <c r="B376" t="s">
        <v>168</v>
      </c>
      <c r="C376" s="1">
        <v>45742.033333333333</v>
      </c>
      <c r="D376" t="s">
        <v>43</v>
      </c>
      <c r="E376" t="s">
        <v>161</v>
      </c>
      <c r="F376">
        <v>480</v>
      </c>
      <c r="G376">
        <v>1276.74</v>
      </c>
      <c r="H376">
        <v>306.42</v>
      </c>
      <c r="I376" t="s">
        <v>74</v>
      </c>
      <c r="J376" t="s">
        <v>142</v>
      </c>
      <c r="L376" s="1">
        <v>45786</v>
      </c>
      <c r="M376" s="9">
        <f>Table11[[#This Row],[quantity]]*Table11[[#This Row],[price]]</f>
        <v>612835.19999999995</v>
      </c>
    </row>
    <row r="377" spans="1:13" x14ac:dyDescent="0.3">
      <c r="A377" t="s">
        <v>1043</v>
      </c>
      <c r="B377" t="s">
        <v>637</v>
      </c>
      <c r="C377" s="1">
        <v>45792.035416666673</v>
      </c>
      <c r="D377" t="s">
        <v>41</v>
      </c>
      <c r="E377" t="s">
        <v>166</v>
      </c>
      <c r="F377">
        <v>801</v>
      </c>
      <c r="G377">
        <v>591.79999999999995</v>
      </c>
      <c r="H377">
        <v>237.02</v>
      </c>
      <c r="I377" t="s">
        <v>98</v>
      </c>
      <c r="J377" t="s">
        <v>133</v>
      </c>
      <c r="L377" s="1">
        <v>45663</v>
      </c>
      <c r="M377" s="9">
        <f>Table11[[#This Row],[quantity]]*Table11[[#This Row],[price]]</f>
        <v>474031.8</v>
      </c>
    </row>
    <row r="378" spans="1:13" x14ac:dyDescent="0.3">
      <c r="A378" t="s">
        <v>1044</v>
      </c>
      <c r="B378" t="s">
        <v>568</v>
      </c>
      <c r="C378" s="1">
        <v>45691.025694444441</v>
      </c>
      <c r="D378" t="s">
        <v>29</v>
      </c>
      <c r="E378" t="s">
        <v>166</v>
      </c>
      <c r="F378">
        <v>726</v>
      </c>
      <c r="G378">
        <v>1196.23</v>
      </c>
      <c r="H378">
        <v>434.23</v>
      </c>
      <c r="I378" t="s">
        <v>88</v>
      </c>
      <c r="J378" t="s">
        <v>139</v>
      </c>
      <c r="L378" s="1">
        <v>45726</v>
      </c>
      <c r="M378" s="9">
        <f>Table11[[#This Row],[quantity]]*Table11[[#This Row],[price]]</f>
        <v>868462.98</v>
      </c>
    </row>
    <row r="379" spans="1:13" x14ac:dyDescent="0.3">
      <c r="A379" t="s">
        <v>1045</v>
      </c>
      <c r="B379" t="s">
        <v>281</v>
      </c>
      <c r="C379" s="1">
        <v>45716.013194444437</v>
      </c>
      <c r="D379" t="s">
        <v>29</v>
      </c>
      <c r="E379" t="s">
        <v>166</v>
      </c>
      <c r="F379">
        <v>550</v>
      </c>
      <c r="G379">
        <v>1268.8699999999999</v>
      </c>
      <c r="H379">
        <v>348.94</v>
      </c>
      <c r="I379" t="s">
        <v>66</v>
      </c>
      <c r="J379" t="s">
        <v>130</v>
      </c>
      <c r="L379" s="1">
        <v>45664</v>
      </c>
      <c r="M379" s="9">
        <f>Table11[[#This Row],[quantity]]*Table11[[#This Row],[price]]</f>
        <v>697878.49999999988</v>
      </c>
    </row>
    <row r="380" spans="1:13" x14ac:dyDescent="0.3">
      <c r="A380" t="s">
        <v>1046</v>
      </c>
      <c r="B380" t="s">
        <v>178</v>
      </c>
      <c r="C380" s="1">
        <v>45715.006249999999</v>
      </c>
      <c r="D380" t="s">
        <v>43</v>
      </c>
      <c r="E380" t="s">
        <v>166</v>
      </c>
      <c r="F380">
        <v>871</v>
      </c>
      <c r="G380">
        <v>1030.92</v>
      </c>
      <c r="H380">
        <v>448.97</v>
      </c>
      <c r="I380" t="s">
        <v>72</v>
      </c>
      <c r="J380" t="s">
        <v>130</v>
      </c>
      <c r="L380" s="1">
        <v>45827</v>
      </c>
      <c r="M380" s="9">
        <f>Table11[[#This Row],[quantity]]*Table11[[#This Row],[price]]</f>
        <v>897931.32000000007</v>
      </c>
    </row>
    <row r="381" spans="1:13" x14ac:dyDescent="0.3">
      <c r="A381" t="s">
        <v>1047</v>
      </c>
      <c r="B381" t="s">
        <v>613</v>
      </c>
      <c r="C381" s="1">
        <v>45770.040972222218</v>
      </c>
      <c r="D381" t="s">
        <v>39</v>
      </c>
      <c r="E381" t="s">
        <v>166</v>
      </c>
      <c r="F381">
        <v>679</v>
      </c>
      <c r="G381">
        <v>244.76</v>
      </c>
      <c r="H381">
        <v>83.1</v>
      </c>
      <c r="I381" t="s">
        <v>104</v>
      </c>
      <c r="J381" t="s">
        <v>142</v>
      </c>
      <c r="L381" s="1">
        <v>45678</v>
      </c>
      <c r="M381" s="9">
        <f>Table11[[#This Row],[quantity]]*Table11[[#This Row],[price]]</f>
        <v>166192.04</v>
      </c>
    </row>
    <row r="382" spans="1:13" x14ac:dyDescent="0.3">
      <c r="A382" t="s">
        <v>1048</v>
      </c>
      <c r="B382" t="s">
        <v>283</v>
      </c>
      <c r="C382" s="1">
        <v>45811.007638888892</v>
      </c>
      <c r="D382" t="s">
        <v>39</v>
      </c>
      <c r="E382" t="s">
        <v>166</v>
      </c>
      <c r="F382">
        <v>570</v>
      </c>
      <c r="G382">
        <v>244.75</v>
      </c>
      <c r="H382">
        <v>69.75</v>
      </c>
      <c r="I382" t="s">
        <v>48</v>
      </c>
      <c r="J382" t="s">
        <v>115</v>
      </c>
      <c r="L382" s="1">
        <v>45790</v>
      </c>
      <c r="M382" s="9">
        <f>Table11[[#This Row],[quantity]]*Table11[[#This Row],[price]]</f>
        <v>139507.5</v>
      </c>
    </row>
    <row r="383" spans="1:13" x14ac:dyDescent="0.3">
      <c r="A383" t="s">
        <v>1049</v>
      </c>
      <c r="B383" t="s">
        <v>169</v>
      </c>
      <c r="C383" s="1">
        <v>45805.023611111108</v>
      </c>
      <c r="D383" t="s">
        <v>29</v>
      </c>
      <c r="E383" t="s">
        <v>161</v>
      </c>
      <c r="F383">
        <v>308</v>
      </c>
      <c r="G383">
        <v>1264.21</v>
      </c>
      <c r="H383">
        <v>194.69</v>
      </c>
      <c r="I383" t="s">
        <v>88</v>
      </c>
      <c r="J383" t="s">
        <v>127</v>
      </c>
      <c r="L383" s="1">
        <v>45733</v>
      </c>
      <c r="M383" s="9">
        <f>Table11[[#This Row],[quantity]]*Table11[[#This Row],[price]]</f>
        <v>389376.68</v>
      </c>
    </row>
    <row r="384" spans="1:13" x14ac:dyDescent="0.3">
      <c r="A384" t="s">
        <v>1050</v>
      </c>
      <c r="B384" t="s">
        <v>419</v>
      </c>
      <c r="C384" s="1">
        <v>45666.011111111111</v>
      </c>
      <c r="D384" t="s">
        <v>37</v>
      </c>
      <c r="E384" t="s">
        <v>161</v>
      </c>
      <c r="F384">
        <v>473</v>
      </c>
      <c r="G384">
        <v>227.37</v>
      </c>
      <c r="H384">
        <v>53.77</v>
      </c>
      <c r="I384" t="s">
        <v>108</v>
      </c>
      <c r="J384" t="s">
        <v>115</v>
      </c>
      <c r="L384" s="1">
        <v>45733</v>
      </c>
      <c r="M384" s="9">
        <f>Table11[[#This Row],[quantity]]*Table11[[#This Row],[price]]</f>
        <v>107546.01000000001</v>
      </c>
    </row>
    <row r="385" spans="1:13" x14ac:dyDescent="0.3">
      <c r="A385" t="s">
        <v>1051</v>
      </c>
      <c r="B385" t="s">
        <v>478</v>
      </c>
      <c r="C385" s="1">
        <v>45743.019444444442</v>
      </c>
      <c r="D385" t="s">
        <v>39</v>
      </c>
      <c r="E385" t="s">
        <v>166</v>
      </c>
      <c r="F385">
        <v>337</v>
      </c>
      <c r="G385">
        <v>234.32</v>
      </c>
      <c r="H385">
        <v>39.479999999999997</v>
      </c>
      <c r="I385" t="s">
        <v>66</v>
      </c>
      <c r="J385" t="s">
        <v>124</v>
      </c>
      <c r="L385" s="1">
        <v>45755</v>
      </c>
      <c r="M385" s="9">
        <f>Table11[[#This Row],[quantity]]*Table11[[#This Row],[price]]</f>
        <v>78965.84</v>
      </c>
    </row>
    <row r="386" spans="1:13" x14ac:dyDescent="0.3">
      <c r="A386" t="s">
        <v>1052</v>
      </c>
      <c r="B386" t="s">
        <v>591</v>
      </c>
      <c r="C386" s="1">
        <v>45771.004166666673</v>
      </c>
      <c r="D386" t="s">
        <v>39</v>
      </c>
      <c r="E386" t="s">
        <v>166</v>
      </c>
      <c r="F386">
        <v>372</v>
      </c>
      <c r="G386">
        <v>243.86</v>
      </c>
      <c r="H386">
        <v>45.36</v>
      </c>
      <c r="I386" t="s">
        <v>106</v>
      </c>
      <c r="J386" t="s">
        <v>133</v>
      </c>
      <c r="L386" s="1">
        <v>45806</v>
      </c>
      <c r="M386" s="9">
        <f>Table11[[#This Row],[quantity]]*Table11[[#This Row],[price]]</f>
        <v>90715.92</v>
      </c>
    </row>
    <row r="387" spans="1:13" x14ac:dyDescent="0.3">
      <c r="A387" t="s">
        <v>1053</v>
      </c>
      <c r="B387" t="s">
        <v>547</v>
      </c>
      <c r="C387" s="1">
        <v>45779.012499999997</v>
      </c>
      <c r="D387" t="s">
        <v>32</v>
      </c>
      <c r="E387" t="s">
        <v>161</v>
      </c>
      <c r="F387">
        <v>715</v>
      </c>
      <c r="G387">
        <v>2114.2199999999998</v>
      </c>
      <c r="H387">
        <v>755.83</v>
      </c>
      <c r="I387" t="s">
        <v>106</v>
      </c>
      <c r="J387" t="s">
        <v>139</v>
      </c>
      <c r="L387" s="1">
        <v>45832</v>
      </c>
      <c r="M387" s="9">
        <f>Table11[[#This Row],[quantity]]*Table11[[#This Row],[price]]</f>
        <v>1511667.2999999998</v>
      </c>
    </row>
    <row r="388" spans="1:13" x14ac:dyDescent="0.3">
      <c r="A388" t="s">
        <v>1054</v>
      </c>
      <c r="B388" t="s">
        <v>528</v>
      </c>
      <c r="C388" s="1">
        <v>45832.013888888891</v>
      </c>
      <c r="D388" t="s">
        <v>39</v>
      </c>
      <c r="E388" t="s">
        <v>166</v>
      </c>
      <c r="F388">
        <v>403</v>
      </c>
      <c r="G388">
        <v>214.2</v>
      </c>
      <c r="H388">
        <v>43.16</v>
      </c>
      <c r="I388" t="s">
        <v>82</v>
      </c>
      <c r="J388" t="s">
        <v>136</v>
      </c>
      <c r="L388" s="1">
        <v>45789</v>
      </c>
      <c r="M388" s="9">
        <f>Table11[[#This Row],[quantity]]*Table11[[#This Row],[price]]</f>
        <v>86322.599999999991</v>
      </c>
    </row>
    <row r="389" spans="1:13" x14ac:dyDescent="0.3">
      <c r="A389" t="s">
        <v>1055</v>
      </c>
      <c r="B389" t="s">
        <v>403</v>
      </c>
      <c r="C389" s="1">
        <v>45824.00277777778</v>
      </c>
      <c r="D389" t="s">
        <v>43</v>
      </c>
      <c r="E389" t="s">
        <v>166</v>
      </c>
      <c r="F389">
        <v>171</v>
      </c>
      <c r="G389">
        <v>1366.97</v>
      </c>
      <c r="H389">
        <v>116.88</v>
      </c>
      <c r="I389" t="s">
        <v>102</v>
      </c>
      <c r="J389" t="s">
        <v>136</v>
      </c>
      <c r="L389" s="1">
        <v>45728</v>
      </c>
      <c r="M389" s="9">
        <f>Table11[[#This Row],[quantity]]*Table11[[#This Row],[price]]</f>
        <v>233751.87</v>
      </c>
    </row>
    <row r="390" spans="1:13" x14ac:dyDescent="0.3">
      <c r="A390" t="s">
        <v>1056</v>
      </c>
      <c r="B390" t="s">
        <v>592</v>
      </c>
      <c r="C390" s="1">
        <v>45755.018750000003</v>
      </c>
      <c r="D390" t="s">
        <v>29</v>
      </c>
      <c r="E390" t="s">
        <v>161</v>
      </c>
      <c r="F390">
        <v>814</v>
      </c>
      <c r="G390">
        <v>1310.94</v>
      </c>
      <c r="H390">
        <v>533.54999999999995</v>
      </c>
      <c r="I390" t="s">
        <v>57</v>
      </c>
      <c r="J390" t="s">
        <v>130</v>
      </c>
      <c r="L390" s="1">
        <v>45691</v>
      </c>
      <c r="M390" s="9">
        <f>Table11[[#This Row],[quantity]]*Table11[[#This Row],[price]]</f>
        <v>1067105.1600000001</v>
      </c>
    </row>
    <row r="391" spans="1:13" x14ac:dyDescent="0.3">
      <c r="A391" t="s">
        <v>1057</v>
      </c>
      <c r="B391" t="s">
        <v>189</v>
      </c>
      <c r="C391" s="1">
        <v>45667.038888888892</v>
      </c>
      <c r="D391" t="s">
        <v>41</v>
      </c>
      <c r="E391" t="s">
        <v>166</v>
      </c>
      <c r="F391">
        <v>675</v>
      </c>
      <c r="G391">
        <v>480.54</v>
      </c>
      <c r="H391">
        <v>162.18</v>
      </c>
      <c r="I391" t="s">
        <v>98</v>
      </c>
      <c r="J391" t="s">
        <v>130</v>
      </c>
      <c r="L391" s="1">
        <v>45695</v>
      </c>
      <c r="M391" s="9">
        <f>Table11[[#This Row],[quantity]]*Table11[[#This Row],[price]]</f>
        <v>324364.5</v>
      </c>
    </row>
    <row r="392" spans="1:13" x14ac:dyDescent="0.3">
      <c r="A392" t="s">
        <v>1058</v>
      </c>
      <c r="B392" t="s">
        <v>602</v>
      </c>
      <c r="C392" s="1">
        <v>45728.040972222218</v>
      </c>
      <c r="D392" t="s">
        <v>27</v>
      </c>
      <c r="E392" t="s">
        <v>166</v>
      </c>
      <c r="F392">
        <v>113</v>
      </c>
      <c r="G392">
        <v>768.45</v>
      </c>
      <c r="H392">
        <v>43.42</v>
      </c>
      <c r="I392" t="s">
        <v>82</v>
      </c>
      <c r="J392" t="s">
        <v>133</v>
      </c>
      <c r="L392" s="1">
        <v>45824</v>
      </c>
      <c r="M392" s="9">
        <f>Table11[[#This Row],[quantity]]*Table11[[#This Row],[price]]</f>
        <v>86834.85</v>
      </c>
    </row>
    <row r="393" spans="1:13" x14ac:dyDescent="0.3">
      <c r="A393" t="s">
        <v>1059</v>
      </c>
      <c r="B393" t="s">
        <v>622</v>
      </c>
      <c r="C393" s="1">
        <v>45742.007638888892</v>
      </c>
      <c r="D393" t="s">
        <v>35</v>
      </c>
      <c r="E393" t="s">
        <v>161</v>
      </c>
      <c r="F393">
        <v>925</v>
      </c>
      <c r="G393">
        <v>629.05999999999995</v>
      </c>
      <c r="H393">
        <v>290.94</v>
      </c>
      <c r="I393" t="s">
        <v>64</v>
      </c>
      <c r="J393" t="s">
        <v>139</v>
      </c>
      <c r="L393" s="1">
        <v>45804</v>
      </c>
      <c r="M393" s="9">
        <f>Table11[[#This Row],[quantity]]*Table11[[#This Row],[price]]</f>
        <v>581880.5</v>
      </c>
    </row>
    <row r="394" spans="1:13" x14ac:dyDescent="0.3">
      <c r="A394" t="s">
        <v>1060</v>
      </c>
      <c r="B394" t="s">
        <v>450</v>
      </c>
      <c r="C394" s="1">
        <v>45702.03402777778</v>
      </c>
      <c r="D394" t="s">
        <v>39</v>
      </c>
      <c r="E394" t="s">
        <v>166</v>
      </c>
      <c r="F394">
        <v>363</v>
      </c>
      <c r="G394">
        <v>232.29</v>
      </c>
      <c r="H394">
        <v>42.16</v>
      </c>
      <c r="I394" t="s">
        <v>54</v>
      </c>
      <c r="J394" t="s">
        <v>127</v>
      </c>
      <c r="L394" s="1">
        <v>45692</v>
      </c>
      <c r="M394" s="9">
        <f>Table11[[#This Row],[quantity]]*Table11[[#This Row],[price]]</f>
        <v>84321.27</v>
      </c>
    </row>
    <row r="395" spans="1:13" x14ac:dyDescent="0.3">
      <c r="A395" t="s">
        <v>1061</v>
      </c>
      <c r="B395" t="s">
        <v>572</v>
      </c>
      <c r="C395" s="1">
        <v>45695.00277777778</v>
      </c>
      <c r="D395" t="s">
        <v>29</v>
      </c>
      <c r="E395" t="s">
        <v>166</v>
      </c>
      <c r="F395">
        <v>744</v>
      </c>
      <c r="G395">
        <v>1220.47</v>
      </c>
      <c r="H395">
        <v>454.01</v>
      </c>
      <c r="I395" t="s">
        <v>78</v>
      </c>
      <c r="J395" t="s">
        <v>142</v>
      </c>
      <c r="L395" s="1">
        <v>45758</v>
      </c>
      <c r="M395" s="9">
        <f>Table11[[#This Row],[quantity]]*Table11[[#This Row],[price]]</f>
        <v>908029.68</v>
      </c>
    </row>
    <row r="396" spans="1:13" x14ac:dyDescent="0.3">
      <c r="A396" t="s">
        <v>1062</v>
      </c>
      <c r="B396" t="s">
        <v>557</v>
      </c>
      <c r="C396" s="1">
        <v>45695.023611111108</v>
      </c>
      <c r="D396" t="s">
        <v>39</v>
      </c>
      <c r="E396" t="s">
        <v>166</v>
      </c>
      <c r="F396">
        <v>819</v>
      </c>
      <c r="G396">
        <v>235.23</v>
      </c>
      <c r="H396">
        <v>96.33</v>
      </c>
      <c r="I396" t="s">
        <v>88</v>
      </c>
      <c r="J396" t="s">
        <v>118</v>
      </c>
      <c r="L396" s="1">
        <v>45740</v>
      </c>
      <c r="M396" s="9">
        <f>Table11[[#This Row],[quantity]]*Table11[[#This Row],[price]]</f>
        <v>192653.37</v>
      </c>
    </row>
    <row r="397" spans="1:13" x14ac:dyDescent="0.3">
      <c r="A397" t="s">
        <v>1063</v>
      </c>
      <c r="B397" t="s">
        <v>275</v>
      </c>
      <c r="C397" s="1">
        <v>45740.029861111107</v>
      </c>
      <c r="D397" t="s">
        <v>35</v>
      </c>
      <c r="E397" t="s">
        <v>166</v>
      </c>
      <c r="F397">
        <v>955</v>
      </c>
      <c r="G397">
        <v>630.6</v>
      </c>
      <c r="H397">
        <v>301.11</v>
      </c>
      <c r="I397" t="s">
        <v>48</v>
      </c>
      <c r="J397" t="s">
        <v>115</v>
      </c>
      <c r="L397" s="1">
        <v>45799</v>
      </c>
      <c r="M397" s="9">
        <f>Table11[[#This Row],[quantity]]*Table11[[#This Row],[price]]</f>
        <v>602223</v>
      </c>
    </row>
    <row r="398" spans="1:13" x14ac:dyDescent="0.3">
      <c r="A398" t="s">
        <v>1064</v>
      </c>
      <c r="B398" t="s">
        <v>443</v>
      </c>
      <c r="C398" s="1">
        <v>45708.029861111107</v>
      </c>
      <c r="D398" t="s">
        <v>35</v>
      </c>
      <c r="E398" t="s">
        <v>166</v>
      </c>
      <c r="F398">
        <v>906</v>
      </c>
      <c r="G398">
        <v>627.29999999999995</v>
      </c>
      <c r="H398">
        <v>284.17</v>
      </c>
      <c r="I398" t="s">
        <v>94</v>
      </c>
      <c r="J398" t="s">
        <v>139</v>
      </c>
      <c r="L398" s="1">
        <v>45670</v>
      </c>
      <c r="M398" s="9">
        <f>Table11[[#This Row],[quantity]]*Table11[[#This Row],[price]]</f>
        <v>568333.79999999993</v>
      </c>
    </row>
    <row r="399" spans="1:13" x14ac:dyDescent="0.3">
      <c r="A399" t="s">
        <v>1065</v>
      </c>
      <c r="B399" t="s">
        <v>356</v>
      </c>
      <c r="C399" s="1">
        <v>45687.03125</v>
      </c>
      <c r="D399" t="s">
        <v>27</v>
      </c>
      <c r="E399" t="s">
        <v>161</v>
      </c>
      <c r="F399">
        <v>847</v>
      </c>
      <c r="G399">
        <v>755.81</v>
      </c>
      <c r="H399">
        <v>320.08999999999997</v>
      </c>
      <c r="I399" t="s">
        <v>106</v>
      </c>
      <c r="J399" t="s">
        <v>115</v>
      </c>
      <c r="L399" s="1">
        <v>45666</v>
      </c>
      <c r="M399" s="9">
        <f>Table11[[#This Row],[quantity]]*Table11[[#This Row],[price]]</f>
        <v>640171.06999999995</v>
      </c>
    </row>
    <row r="400" spans="1:13" x14ac:dyDescent="0.3">
      <c r="A400" t="s">
        <v>1066</v>
      </c>
      <c r="B400" t="s">
        <v>503</v>
      </c>
      <c r="C400" s="1">
        <v>45658.001388888893</v>
      </c>
      <c r="D400" t="s">
        <v>27</v>
      </c>
      <c r="E400" t="s">
        <v>166</v>
      </c>
      <c r="F400">
        <v>766</v>
      </c>
      <c r="G400">
        <v>798.76</v>
      </c>
      <c r="H400">
        <v>305.93</v>
      </c>
      <c r="I400" t="s">
        <v>86</v>
      </c>
      <c r="J400" t="s">
        <v>133</v>
      </c>
      <c r="L400" s="1">
        <v>45730</v>
      </c>
      <c r="M400" s="9">
        <f>Table11[[#This Row],[quantity]]*Table11[[#This Row],[price]]</f>
        <v>611850.16</v>
      </c>
    </row>
    <row r="401" spans="1:13" x14ac:dyDescent="0.3">
      <c r="A401" t="s">
        <v>1067</v>
      </c>
      <c r="B401" t="s">
        <v>289</v>
      </c>
      <c r="C401" s="1">
        <v>45828.004861111112</v>
      </c>
      <c r="D401" t="s">
        <v>32</v>
      </c>
      <c r="E401" t="s">
        <v>161</v>
      </c>
      <c r="F401">
        <v>148</v>
      </c>
      <c r="G401">
        <v>2172.35</v>
      </c>
      <c r="H401">
        <v>160.75</v>
      </c>
      <c r="I401" t="s">
        <v>62</v>
      </c>
      <c r="J401" t="s">
        <v>115</v>
      </c>
      <c r="L401" s="1">
        <v>45666</v>
      </c>
      <c r="M401" s="9">
        <f>Table11[[#This Row],[quantity]]*Table11[[#This Row],[price]]</f>
        <v>321507.8</v>
      </c>
    </row>
    <row r="402" spans="1:13" x14ac:dyDescent="0.3">
      <c r="A402" t="s">
        <v>1068</v>
      </c>
      <c r="B402" t="s">
        <v>621</v>
      </c>
      <c r="C402" s="1">
        <v>45761.036805555559</v>
      </c>
      <c r="D402" t="s">
        <v>41</v>
      </c>
      <c r="E402" t="s">
        <v>161</v>
      </c>
      <c r="F402">
        <v>363</v>
      </c>
      <c r="G402">
        <v>570.26</v>
      </c>
      <c r="H402">
        <v>103.5</v>
      </c>
      <c r="I402" t="s">
        <v>94</v>
      </c>
      <c r="J402" t="s">
        <v>121</v>
      </c>
      <c r="L402" s="1">
        <v>45790</v>
      </c>
      <c r="M402" s="9">
        <f>Table11[[#This Row],[quantity]]*Table11[[#This Row],[price]]</f>
        <v>207004.38</v>
      </c>
    </row>
    <row r="403" spans="1:13" x14ac:dyDescent="0.3">
      <c r="A403" t="s">
        <v>1069</v>
      </c>
      <c r="B403" t="s">
        <v>345</v>
      </c>
      <c r="C403" s="1">
        <v>45800.013888888891</v>
      </c>
      <c r="D403" t="s">
        <v>27</v>
      </c>
      <c r="E403" t="s">
        <v>166</v>
      </c>
      <c r="F403">
        <v>154</v>
      </c>
      <c r="G403">
        <v>804.74</v>
      </c>
      <c r="H403">
        <v>61.96</v>
      </c>
      <c r="I403" t="s">
        <v>98</v>
      </c>
      <c r="J403" t="s">
        <v>127</v>
      </c>
      <c r="L403" s="1">
        <v>45772</v>
      </c>
      <c r="M403" s="9">
        <f>Table11[[#This Row],[quantity]]*Table11[[#This Row],[price]]</f>
        <v>123929.96</v>
      </c>
    </row>
    <row r="404" spans="1:13" x14ac:dyDescent="0.3">
      <c r="A404" t="s">
        <v>1070</v>
      </c>
      <c r="B404" t="s">
        <v>265</v>
      </c>
      <c r="C404" s="1">
        <v>45762.013888888891</v>
      </c>
      <c r="D404" t="s">
        <v>35</v>
      </c>
      <c r="E404" t="s">
        <v>166</v>
      </c>
      <c r="F404">
        <v>985</v>
      </c>
      <c r="G404">
        <v>631.66</v>
      </c>
      <c r="H404">
        <v>311.08999999999997</v>
      </c>
      <c r="I404" t="s">
        <v>74</v>
      </c>
      <c r="J404" t="s">
        <v>139</v>
      </c>
      <c r="L404" s="1">
        <v>45712</v>
      </c>
      <c r="M404" s="9">
        <f>Table11[[#This Row],[quantity]]*Table11[[#This Row],[price]]</f>
        <v>622185.1</v>
      </c>
    </row>
    <row r="405" spans="1:13" x14ac:dyDescent="0.3">
      <c r="A405" t="s">
        <v>1071</v>
      </c>
      <c r="B405" t="s">
        <v>591</v>
      </c>
      <c r="C405" s="1">
        <v>45688.032638888893</v>
      </c>
      <c r="D405" t="s">
        <v>37</v>
      </c>
      <c r="E405" t="s">
        <v>161</v>
      </c>
      <c r="F405">
        <v>56</v>
      </c>
      <c r="G405">
        <v>230.29</v>
      </c>
      <c r="H405">
        <v>6.45</v>
      </c>
      <c r="I405" t="s">
        <v>68</v>
      </c>
      <c r="J405" t="s">
        <v>142</v>
      </c>
      <c r="L405" s="1">
        <v>45667</v>
      </c>
      <c r="M405" s="9">
        <f>Table11[[#This Row],[quantity]]*Table11[[#This Row],[price]]</f>
        <v>12896.24</v>
      </c>
    </row>
    <row r="406" spans="1:13" x14ac:dyDescent="0.3">
      <c r="A406" t="s">
        <v>1072</v>
      </c>
      <c r="B406" t="s">
        <v>186</v>
      </c>
      <c r="C406" s="1">
        <v>45764.027083333327</v>
      </c>
      <c r="D406" t="s">
        <v>32</v>
      </c>
      <c r="E406" t="s">
        <v>161</v>
      </c>
      <c r="F406">
        <v>428</v>
      </c>
      <c r="G406">
        <v>2190.75</v>
      </c>
      <c r="H406">
        <v>468.82</v>
      </c>
      <c r="I406" t="s">
        <v>102</v>
      </c>
      <c r="J406" t="s">
        <v>133</v>
      </c>
      <c r="L406" s="1">
        <v>45832</v>
      </c>
      <c r="M406" s="9">
        <f>Table11[[#This Row],[quantity]]*Table11[[#This Row],[price]]</f>
        <v>937641</v>
      </c>
    </row>
    <row r="407" spans="1:13" x14ac:dyDescent="0.3">
      <c r="A407" t="s">
        <v>1073</v>
      </c>
      <c r="B407" t="s">
        <v>462</v>
      </c>
      <c r="C407" s="1">
        <v>45791.004166666673</v>
      </c>
      <c r="D407" t="s">
        <v>35</v>
      </c>
      <c r="E407" t="s">
        <v>166</v>
      </c>
      <c r="F407">
        <v>959</v>
      </c>
      <c r="G407">
        <v>631.78</v>
      </c>
      <c r="H407">
        <v>302.94</v>
      </c>
      <c r="I407" t="s">
        <v>76</v>
      </c>
      <c r="J407" t="s">
        <v>124</v>
      </c>
      <c r="L407" s="1">
        <v>45721</v>
      </c>
      <c r="M407" s="9">
        <f>Table11[[#This Row],[quantity]]*Table11[[#This Row],[price]]</f>
        <v>605877.02</v>
      </c>
    </row>
    <row r="408" spans="1:13" x14ac:dyDescent="0.3">
      <c r="A408" t="s">
        <v>1074</v>
      </c>
      <c r="B408" t="s">
        <v>225</v>
      </c>
      <c r="C408" s="1">
        <v>45761.034722222219</v>
      </c>
      <c r="D408" t="s">
        <v>41</v>
      </c>
      <c r="E408" t="s">
        <v>161</v>
      </c>
      <c r="F408">
        <v>448</v>
      </c>
      <c r="G408">
        <v>570.12</v>
      </c>
      <c r="H408">
        <v>127.71</v>
      </c>
      <c r="I408" t="s">
        <v>104</v>
      </c>
      <c r="J408" t="s">
        <v>139</v>
      </c>
      <c r="L408" s="1">
        <v>45680</v>
      </c>
      <c r="M408" s="9">
        <f>Table11[[#This Row],[quantity]]*Table11[[#This Row],[price]]</f>
        <v>255413.76000000001</v>
      </c>
    </row>
    <row r="409" spans="1:13" x14ac:dyDescent="0.3">
      <c r="A409" t="s">
        <v>1075</v>
      </c>
      <c r="B409" t="s">
        <v>237</v>
      </c>
      <c r="C409" s="1">
        <v>45762.037499999999</v>
      </c>
      <c r="D409" t="s">
        <v>43</v>
      </c>
      <c r="E409" t="s">
        <v>161</v>
      </c>
      <c r="F409">
        <v>262</v>
      </c>
      <c r="G409">
        <v>1316.42</v>
      </c>
      <c r="H409">
        <v>172.45</v>
      </c>
      <c r="I409" t="s">
        <v>100</v>
      </c>
      <c r="J409" t="s">
        <v>139</v>
      </c>
      <c r="L409" s="1">
        <v>45702</v>
      </c>
      <c r="M409" s="9">
        <f>Table11[[#This Row],[quantity]]*Table11[[#This Row],[price]]</f>
        <v>344902.04000000004</v>
      </c>
    </row>
    <row r="410" spans="1:13" x14ac:dyDescent="0.3">
      <c r="A410" t="s">
        <v>1076</v>
      </c>
      <c r="B410" t="s">
        <v>539</v>
      </c>
      <c r="C410" s="1">
        <v>45733.027777777781</v>
      </c>
      <c r="D410" t="s">
        <v>43</v>
      </c>
      <c r="E410" t="s">
        <v>161</v>
      </c>
      <c r="F410">
        <v>40</v>
      </c>
      <c r="G410">
        <v>1172.33</v>
      </c>
      <c r="H410">
        <v>23.45</v>
      </c>
      <c r="I410" t="s">
        <v>104</v>
      </c>
      <c r="J410" t="s">
        <v>124</v>
      </c>
      <c r="L410" s="1">
        <v>45756</v>
      </c>
      <c r="M410" s="9">
        <f>Table11[[#This Row],[quantity]]*Table11[[#This Row],[price]]</f>
        <v>46893.2</v>
      </c>
    </row>
    <row r="411" spans="1:13" x14ac:dyDescent="0.3">
      <c r="A411" t="s">
        <v>1077</v>
      </c>
      <c r="B411" t="s">
        <v>477</v>
      </c>
      <c r="C411" s="1">
        <v>45777.026388888888</v>
      </c>
      <c r="D411" t="s">
        <v>29</v>
      </c>
      <c r="E411" t="s">
        <v>161</v>
      </c>
      <c r="F411">
        <v>474</v>
      </c>
      <c r="G411">
        <v>1223.29</v>
      </c>
      <c r="H411">
        <v>289.92</v>
      </c>
      <c r="I411" t="s">
        <v>98</v>
      </c>
      <c r="J411" t="s">
        <v>130</v>
      </c>
      <c r="L411" s="1">
        <v>45735</v>
      </c>
      <c r="M411" s="9">
        <f>Table11[[#This Row],[quantity]]*Table11[[#This Row],[price]]</f>
        <v>579839.46</v>
      </c>
    </row>
    <row r="412" spans="1:13" x14ac:dyDescent="0.3">
      <c r="A412" t="s">
        <v>1078</v>
      </c>
      <c r="B412" t="s">
        <v>552</v>
      </c>
      <c r="C412" s="1">
        <v>45685.006944444453</v>
      </c>
      <c r="D412" t="s">
        <v>43</v>
      </c>
      <c r="E412" t="s">
        <v>161</v>
      </c>
      <c r="F412">
        <v>300</v>
      </c>
      <c r="G412">
        <v>948.66</v>
      </c>
      <c r="H412">
        <v>142.30000000000001</v>
      </c>
      <c r="I412" t="s">
        <v>90</v>
      </c>
      <c r="J412" t="s">
        <v>127</v>
      </c>
      <c r="L412" s="1">
        <v>45698</v>
      </c>
      <c r="M412" s="9">
        <f>Table11[[#This Row],[quantity]]*Table11[[#This Row],[price]]</f>
        <v>284598</v>
      </c>
    </row>
    <row r="413" spans="1:13" x14ac:dyDescent="0.3">
      <c r="A413" t="s">
        <v>1079</v>
      </c>
      <c r="B413" t="s">
        <v>424</v>
      </c>
      <c r="C413" s="1">
        <v>45789.006249999999</v>
      </c>
      <c r="D413" t="s">
        <v>39</v>
      </c>
      <c r="E413" t="s">
        <v>161</v>
      </c>
      <c r="F413">
        <v>949</v>
      </c>
      <c r="G413">
        <v>225.31</v>
      </c>
      <c r="H413">
        <v>106.91</v>
      </c>
      <c r="I413" t="s">
        <v>96</v>
      </c>
      <c r="J413" t="s">
        <v>130</v>
      </c>
      <c r="L413" s="1">
        <v>45751</v>
      </c>
      <c r="M413" s="9">
        <f>Table11[[#This Row],[quantity]]*Table11[[#This Row],[price]]</f>
        <v>213819.19</v>
      </c>
    </row>
    <row r="414" spans="1:13" x14ac:dyDescent="0.3">
      <c r="A414" t="s">
        <v>1080</v>
      </c>
      <c r="B414" t="s">
        <v>442</v>
      </c>
      <c r="C414" s="1">
        <v>45832.037499999999</v>
      </c>
      <c r="D414" t="s">
        <v>29</v>
      </c>
      <c r="E414" t="s">
        <v>166</v>
      </c>
      <c r="F414">
        <v>82</v>
      </c>
      <c r="G414">
        <v>1285.5</v>
      </c>
      <c r="H414">
        <v>52.71</v>
      </c>
      <c r="I414" t="s">
        <v>96</v>
      </c>
      <c r="J414" t="s">
        <v>127</v>
      </c>
      <c r="L414" s="1">
        <v>45728</v>
      </c>
      <c r="M414" s="9">
        <f>Table11[[#This Row],[quantity]]*Table11[[#This Row],[price]]</f>
        <v>105411</v>
      </c>
    </row>
    <row r="415" spans="1:13" x14ac:dyDescent="0.3">
      <c r="A415" t="s">
        <v>1081</v>
      </c>
      <c r="B415" t="s">
        <v>451</v>
      </c>
      <c r="C415" s="1">
        <v>45737.040277777778</v>
      </c>
      <c r="D415" t="s">
        <v>35</v>
      </c>
      <c r="E415" t="s">
        <v>161</v>
      </c>
      <c r="F415">
        <v>284</v>
      </c>
      <c r="G415">
        <v>627.92999999999995</v>
      </c>
      <c r="H415">
        <v>89.17</v>
      </c>
      <c r="I415" t="s">
        <v>78</v>
      </c>
      <c r="J415" t="s">
        <v>121</v>
      </c>
      <c r="L415" s="1">
        <v>45811</v>
      </c>
      <c r="M415" s="9">
        <f>Table11[[#This Row],[quantity]]*Table11[[#This Row],[price]]</f>
        <v>178332.12</v>
      </c>
    </row>
    <row r="416" spans="1:13" x14ac:dyDescent="0.3">
      <c r="A416" t="s">
        <v>1082</v>
      </c>
      <c r="B416" t="s">
        <v>393</v>
      </c>
      <c r="C416" s="1">
        <v>45749.035416666673</v>
      </c>
      <c r="D416" t="s">
        <v>35</v>
      </c>
      <c r="E416" t="s">
        <v>166</v>
      </c>
      <c r="F416">
        <v>787</v>
      </c>
      <c r="G416">
        <v>647.63</v>
      </c>
      <c r="H416">
        <v>254.84</v>
      </c>
      <c r="I416" t="s">
        <v>57</v>
      </c>
      <c r="J416" t="s">
        <v>115</v>
      </c>
      <c r="L416" s="1">
        <v>45807</v>
      </c>
      <c r="M416" s="9">
        <f>Table11[[#This Row],[quantity]]*Table11[[#This Row],[price]]</f>
        <v>509684.81</v>
      </c>
    </row>
    <row r="417" spans="1:13" x14ac:dyDescent="0.3">
      <c r="A417" t="s">
        <v>1083</v>
      </c>
      <c r="B417" t="s">
        <v>395</v>
      </c>
      <c r="C417" s="1">
        <v>45702.01666666667</v>
      </c>
      <c r="D417" t="s">
        <v>41</v>
      </c>
      <c r="E417" t="s">
        <v>166</v>
      </c>
      <c r="F417">
        <v>922</v>
      </c>
      <c r="G417">
        <v>540.99</v>
      </c>
      <c r="H417">
        <v>249.4</v>
      </c>
      <c r="I417" t="s">
        <v>82</v>
      </c>
      <c r="J417" t="s">
        <v>121</v>
      </c>
      <c r="L417" s="1">
        <v>45757</v>
      </c>
      <c r="M417" s="9">
        <f>Table11[[#This Row],[quantity]]*Table11[[#This Row],[price]]</f>
        <v>498792.78</v>
      </c>
    </row>
    <row r="418" spans="1:13" x14ac:dyDescent="0.3">
      <c r="A418" t="s">
        <v>1084</v>
      </c>
      <c r="B418" t="s">
        <v>573</v>
      </c>
      <c r="C418" s="1">
        <v>45813.027777777781</v>
      </c>
      <c r="D418" t="s">
        <v>35</v>
      </c>
      <c r="E418" t="s">
        <v>161</v>
      </c>
      <c r="F418">
        <v>665</v>
      </c>
      <c r="G418">
        <v>662.23</v>
      </c>
      <c r="H418">
        <v>220.19</v>
      </c>
      <c r="I418" t="s">
        <v>72</v>
      </c>
      <c r="J418" t="s">
        <v>133</v>
      </c>
      <c r="L418" s="1">
        <v>45769</v>
      </c>
      <c r="M418" s="9">
        <f>Table11[[#This Row],[quantity]]*Table11[[#This Row],[price]]</f>
        <v>440382.95</v>
      </c>
    </row>
    <row r="419" spans="1:13" x14ac:dyDescent="0.3">
      <c r="A419" t="s">
        <v>1085</v>
      </c>
      <c r="B419" t="s">
        <v>631</v>
      </c>
      <c r="C419" s="1">
        <v>45740.013194444437</v>
      </c>
      <c r="D419" t="s">
        <v>27</v>
      </c>
      <c r="E419" t="s">
        <v>166</v>
      </c>
      <c r="F419">
        <v>186</v>
      </c>
      <c r="G419">
        <v>764.27</v>
      </c>
      <c r="H419">
        <v>71.08</v>
      </c>
      <c r="I419" t="s">
        <v>108</v>
      </c>
      <c r="J419" t="s">
        <v>136</v>
      </c>
      <c r="L419" s="1">
        <v>45833</v>
      </c>
      <c r="M419" s="9">
        <f>Table11[[#This Row],[quantity]]*Table11[[#This Row],[price]]</f>
        <v>142154.22</v>
      </c>
    </row>
    <row r="420" spans="1:13" x14ac:dyDescent="0.3">
      <c r="A420" t="s">
        <v>1086</v>
      </c>
      <c r="B420" t="s">
        <v>583</v>
      </c>
      <c r="C420" s="1">
        <v>45699.020833333343</v>
      </c>
      <c r="D420" t="s">
        <v>35</v>
      </c>
      <c r="E420" t="s">
        <v>166</v>
      </c>
      <c r="F420">
        <v>964</v>
      </c>
      <c r="G420">
        <v>617.91</v>
      </c>
      <c r="H420">
        <v>297.83</v>
      </c>
      <c r="I420" t="s">
        <v>104</v>
      </c>
      <c r="J420" t="s">
        <v>139</v>
      </c>
      <c r="L420" s="1">
        <v>45772</v>
      </c>
      <c r="M420" s="9">
        <f>Table11[[#This Row],[quantity]]*Table11[[#This Row],[price]]</f>
        <v>595665.24</v>
      </c>
    </row>
    <row r="421" spans="1:13" x14ac:dyDescent="0.3">
      <c r="A421" t="s">
        <v>1087</v>
      </c>
      <c r="B421" t="s">
        <v>512</v>
      </c>
      <c r="C421" s="1">
        <v>45762.036805555559</v>
      </c>
      <c r="D421" t="s">
        <v>41</v>
      </c>
      <c r="E421" t="s">
        <v>166</v>
      </c>
      <c r="F421">
        <v>166</v>
      </c>
      <c r="G421">
        <v>567.42999999999995</v>
      </c>
      <c r="H421">
        <v>47.1</v>
      </c>
      <c r="I421" t="s">
        <v>62</v>
      </c>
      <c r="J421" t="s">
        <v>118</v>
      </c>
      <c r="L421" s="1">
        <v>45778</v>
      </c>
      <c r="M421" s="9">
        <f>Table11[[#This Row],[quantity]]*Table11[[#This Row],[price]]</f>
        <v>94193.37999999999</v>
      </c>
    </row>
    <row r="422" spans="1:13" x14ac:dyDescent="0.3">
      <c r="A422" t="s">
        <v>1088</v>
      </c>
      <c r="B422" t="s">
        <v>376</v>
      </c>
      <c r="C422" s="1">
        <v>45749.022916666669</v>
      </c>
      <c r="D422" t="s">
        <v>37</v>
      </c>
      <c r="E422" t="s">
        <v>161</v>
      </c>
      <c r="F422">
        <v>671</v>
      </c>
      <c r="G422">
        <v>246.87</v>
      </c>
      <c r="H422">
        <v>82.82</v>
      </c>
      <c r="I422" t="s">
        <v>80</v>
      </c>
      <c r="J422" t="s">
        <v>127</v>
      </c>
      <c r="L422" s="1">
        <v>45741</v>
      </c>
      <c r="M422" s="9">
        <f>Table11[[#This Row],[quantity]]*Table11[[#This Row],[price]]</f>
        <v>165649.76999999999</v>
      </c>
    </row>
    <row r="423" spans="1:13" x14ac:dyDescent="0.3">
      <c r="A423" t="s">
        <v>1089</v>
      </c>
      <c r="B423" t="s">
        <v>201</v>
      </c>
      <c r="C423" s="1">
        <v>45742.025000000001</v>
      </c>
      <c r="D423" t="s">
        <v>43</v>
      </c>
      <c r="E423" t="s">
        <v>161</v>
      </c>
      <c r="F423">
        <v>866</v>
      </c>
      <c r="G423">
        <v>1276.9000000000001</v>
      </c>
      <c r="H423">
        <v>552.9</v>
      </c>
      <c r="I423" t="s">
        <v>72</v>
      </c>
      <c r="J423" t="s">
        <v>115</v>
      </c>
      <c r="L423" s="1">
        <v>45814</v>
      </c>
      <c r="M423" s="9">
        <f>Table11[[#This Row],[quantity]]*Table11[[#This Row],[price]]</f>
        <v>1105795.4000000001</v>
      </c>
    </row>
    <row r="424" spans="1:13" x14ac:dyDescent="0.3">
      <c r="A424" t="s">
        <v>1090</v>
      </c>
      <c r="B424" t="s">
        <v>481</v>
      </c>
      <c r="C424" s="1">
        <v>45799.022222222222</v>
      </c>
      <c r="D424" t="s">
        <v>29</v>
      </c>
      <c r="E424" t="s">
        <v>161</v>
      </c>
      <c r="F424">
        <v>319</v>
      </c>
      <c r="G424">
        <v>1251.2</v>
      </c>
      <c r="H424">
        <v>199.57</v>
      </c>
      <c r="I424" t="s">
        <v>72</v>
      </c>
      <c r="J424" t="s">
        <v>121</v>
      </c>
      <c r="L424" s="1">
        <v>45817</v>
      </c>
      <c r="M424" s="9">
        <f>Table11[[#This Row],[quantity]]*Table11[[#This Row],[price]]</f>
        <v>399132.8</v>
      </c>
    </row>
    <row r="425" spans="1:13" x14ac:dyDescent="0.3">
      <c r="A425" t="s">
        <v>1091</v>
      </c>
      <c r="B425" t="s">
        <v>526</v>
      </c>
      <c r="C425" s="1">
        <v>45748.032638888893</v>
      </c>
      <c r="D425" t="s">
        <v>37</v>
      </c>
      <c r="E425" t="s">
        <v>161</v>
      </c>
      <c r="F425">
        <v>740</v>
      </c>
      <c r="G425">
        <v>246.36</v>
      </c>
      <c r="H425">
        <v>91.15</v>
      </c>
      <c r="I425" t="s">
        <v>54</v>
      </c>
      <c r="J425" t="s">
        <v>118</v>
      </c>
      <c r="L425" s="1">
        <v>45775</v>
      </c>
      <c r="M425" s="9">
        <f>Table11[[#This Row],[quantity]]*Table11[[#This Row],[price]]</f>
        <v>182306.40000000002</v>
      </c>
    </row>
    <row r="426" spans="1:13" x14ac:dyDescent="0.3">
      <c r="A426" t="s">
        <v>1092</v>
      </c>
      <c r="B426" t="s">
        <v>366</v>
      </c>
      <c r="C426" s="1">
        <v>45736.032638888893</v>
      </c>
      <c r="D426" t="s">
        <v>29</v>
      </c>
      <c r="E426" t="s">
        <v>166</v>
      </c>
      <c r="F426">
        <v>385</v>
      </c>
      <c r="G426">
        <v>1298.26</v>
      </c>
      <c r="H426">
        <v>249.92</v>
      </c>
      <c r="I426" t="s">
        <v>94</v>
      </c>
      <c r="J426" t="s">
        <v>130</v>
      </c>
      <c r="L426" s="1">
        <v>45796</v>
      </c>
      <c r="M426" s="9">
        <f>Table11[[#This Row],[quantity]]*Table11[[#This Row],[price]]</f>
        <v>499830.1</v>
      </c>
    </row>
    <row r="427" spans="1:13" x14ac:dyDescent="0.3">
      <c r="A427" t="s">
        <v>1093</v>
      </c>
      <c r="B427" t="s">
        <v>606</v>
      </c>
      <c r="C427" s="1">
        <v>45827.030555555553</v>
      </c>
      <c r="D427" t="s">
        <v>29</v>
      </c>
      <c r="E427" t="s">
        <v>161</v>
      </c>
      <c r="F427">
        <v>50</v>
      </c>
      <c r="G427">
        <v>1303.21</v>
      </c>
      <c r="H427">
        <v>32.58</v>
      </c>
      <c r="I427" t="s">
        <v>54</v>
      </c>
      <c r="J427" t="s">
        <v>142</v>
      </c>
      <c r="L427" s="1">
        <v>45687</v>
      </c>
      <c r="M427" s="9">
        <f>Table11[[#This Row],[quantity]]*Table11[[#This Row],[price]]</f>
        <v>65160.5</v>
      </c>
    </row>
    <row r="428" spans="1:13" x14ac:dyDescent="0.3">
      <c r="A428" t="s">
        <v>1094</v>
      </c>
      <c r="B428" t="s">
        <v>387</v>
      </c>
      <c r="C428" s="1">
        <v>45728.011111111111</v>
      </c>
      <c r="D428" t="s">
        <v>39</v>
      </c>
      <c r="E428" t="s">
        <v>161</v>
      </c>
      <c r="F428">
        <v>841</v>
      </c>
      <c r="G428">
        <v>237.7</v>
      </c>
      <c r="H428">
        <v>99.95</v>
      </c>
      <c r="I428" t="s">
        <v>54</v>
      </c>
      <c r="J428" t="s">
        <v>136</v>
      </c>
      <c r="L428" s="1">
        <v>45726</v>
      </c>
      <c r="M428" s="9">
        <f>Table11[[#This Row],[quantity]]*Table11[[#This Row],[price]]</f>
        <v>199905.69999999998</v>
      </c>
    </row>
    <row r="429" spans="1:13" x14ac:dyDescent="0.3">
      <c r="A429" t="s">
        <v>1095</v>
      </c>
      <c r="B429" t="s">
        <v>660</v>
      </c>
      <c r="C429" s="1">
        <v>45719.032638888893</v>
      </c>
      <c r="D429" t="s">
        <v>41</v>
      </c>
      <c r="E429" t="s">
        <v>166</v>
      </c>
      <c r="F429">
        <v>631</v>
      </c>
      <c r="G429">
        <v>567.98</v>
      </c>
      <c r="H429">
        <v>179.2</v>
      </c>
      <c r="I429" t="s">
        <v>98</v>
      </c>
      <c r="J429" t="s">
        <v>118</v>
      </c>
      <c r="L429" s="1">
        <v>45812</v>
      </c>
      <c r="M429" s="9">
        <f>Table11[[#This Row],[quantity]]*Table11[[#This Row],[price]]</f>
        <v>358395.38</v>
      </c>
    </row>
    <row r="430" spans="1:13" x14ac:dyDescent="0.3">
      <c r="A430" t="s">
        <v>1096</v>
      </c>
      <c r="B430" t="s">
        <v>463</v>
      </c>
      <c r="C430" s="1">
        <v>45797.015972222223</v>
      </c>
      <c r="D430" t="s">
        <v>37</v>
      </c>
      <c r="E430" t="s">
        <v>161</v>
      </c>
      <c r="F430">
        <v>157</v>
      </c>
      <c r="G430">
        <v>250.05</v>
      </c>
      <c r="H430">
        <v>19.63</v>
      </c>
      <c r="I430" t="s">
        <v>96</v>
      </c>
      <c r="J430" t="s">
        <v>139</v>
      </c>
      <c r="L430" s="1">
        <v>45751</v>
      </c>
      <c r="M430" s="9">
        <f>Table11[[#This Row],[quantity]]*Table11[[#This Row],[price]]</f>
        <v>39257.85</v>
      </c>
    </row>
    <row r="431" spans="1:13" x14ac:dyDescent="0.3">
      <c r="A431" t="s">
        <v>1097</v>
      </c>
      <c r="B431" t="s">
        <v>455</v>
      </c>
      <c r="C431" s="1">
        <v>45775.026388888888</v>
      </c>
      <c r="D431" t="s">
        <v>41</v>
      </c>
      <c r="E431" t="s">
        <v>161</v>
      </c>
      <c r="F431">
        <v>546</v>
      </c>
      <c r="G431">
        <v>599.62</v>
      </c>
      <c r="H431">
        <v>163.69999999999999</v>
      </c>
      <c r="I431" t="s">
        <v>104</v>
      </c>
      <c r="J431" t="s">
        <v>118</v>
      </c>
      <c r="L431" s="1">
        <v>45692</v>
      </c>
      <c r="M431" s="9">
        <f>Table11[[#This Row],[quantity]]*Table11[[#This Row],[price]]</f>
        <v>327392.52</v>
      </c>
    </row>
    <row r="432" spans="1:13" x14ac:dyDescent="0.3">
      <c r="A432" t="s">
        <v>1098</v>
      </c>
      <c r="B432" t="s">
        <v>371</v>
      </c>
      <c r="C432" s="1">
        <v>45727.00277777778</v>
      </c>
      <c r="D432" t="s">
        <v>41</v>
      </c>
      <c r="E432" t="s">
        <v>161</v>
      </c>
      <c r="F432">
        <v>711</v>
      </c>
      <c r="G432">
        <v>561.36</v>
      </c>
      <c r="H432">
        <v>199.56</v>
      </c>
      <c r="I432" t="s">
        <v>51</v>
      </c>
      <c r="J432" t="s">
        <v>118</v>
      </c>
      <c r="L432" s="1">
        <v>45764</v>
      </c>
      <c r="M432" s="9">
        <f>Table11[[#This Row],[quantity]]*Table11[[#This Row],[price]]</f>
        <v>399126.96</v>
      </c>
    </row>
    <row r="433" spans="1:13" x14ac:dyDescent="0.3">
      <c r="A433" t="s">
        <v>1099</v>
      </c>
      <c r="B433" t="s">
        <v>601</v>
      </c>
      <c r="C433" s="1">
        <v>45757.004861111112</v>
      </c>
      <c r="D433" t="s">
        <v>29</v>
      </c>
      <c r="E433" t="s">
        <v>166</v>
      </c>
      <c r="F433">
        <v>846</v>
      </c>
      <c r="G433">
        <v>1332.2</v>
      </c>
      <c r="H433">
        <v>563.52</v>
      </c>
      <c r="I433" t="s">
        <v>68</v>
      </c>
      <c r="J433" t="s">
        <v>130</v>
      </c>
      <c r="L433" s="1">
        <v>45686</v>
      </c>
      <c r="M433" s="9">
        <f>Table11[[#This Row],[quantity]]*Table11[[#This Row],[price]]</f>
        <v>1127041.2</v>
      </c>
    </row>
    <row r="434" spans="1:13" x14ac:dyDescent="0.3">
      <c r="A434" t="s">
        <v>1100</v>
      </c>
      <c r="B434" t="s">
        <v>486</v>
      </c>
      <c r="C434" s="1">
        <v>45789.013194444437</v>
      </c>
      <c r="D434" t="s">
        <v>35</v>
      </c>
      <c r="E434" t="s">
        <v>161</v>
      </c>
      <c r="F434">
        <v>443</v>
      </c>
      <c r="G434">
        <v>646.51</v>
      </c>
      <c r="H434">
        <v>143.19999999999999</v>
      </c>
      <c r="I434" t="s">
        <v>90</v>
      </c>
      <c r="J434" t="s">
        <v>130</v>
      </c>
      <c r="L434" s="1">
        <v>45734</v>
      </c>
      <c r="M434" s="9">
        <f>Table11[[#This Row],[quantity]]*Table11[[#This Row],[price]]</f>
        <v>286403.93</v>
      </c>
    </row>
    <row r="435" spans="1:13" x14ac:dyDescent="0.3">
      <c r="A435" t="s">
        <v>1101</v>
      </c>
      <c r="B435" t="s">
        <v>415</v>
      </c>
      <c r="C435" s="1">
        <v>45677.024305555547</v>
      </c>
      <c r="D435" t="s">
        <v>35</v>
      </c>
      <c r="E435" t="s">
        <v>166</v>
      </c>
      <c r="F435">
        <v>230</v>
      </c>
      <c r="G435">
        <v>600.99</v>
      </c>
      <c r="H435">
        <v>69.11</v>
      </c>
      <c r="I435" t="s">
        <v>68</v>
      </c>
      <c r="J435" t="s">
        <v>121</v>
      </c>
      <c r="L435" s="1">
        <v>45838</v>
      </c>
      <c r="M435" s="9">
        <f>Table11[[#This Row],[quantity]]*Table11[[#This Row],[price]]</f>
        <v>138227.70000000001</v>
      </c>
    </row>
    <row r="436" spans="1:13" x14ac:dyDescent="0.3">
      <c r="A436" t="s">
        <v>1102</v>
      </c>
      <c r="B436" t="s">
        <v>595</v>
      </c>
      <c r="C436" s="1">
        <v>45796.000694444447</v>
      </c>
      <c r="D436" t="s">
        <v>27</v>
      </c>
      <c r="E436" t="s">
        <v>166</v>
      </c>
      <c r="F436">
        <v>736</v>
      </c>
      <c r="G436">
        <v>818.2</v>
      </c>
      <c r="H436">
        <v>301.10000000000002</v>
      </c>
      <c r="I436" t="s">
        <v>64</v>
      </c>
      <c r="J436" t="s">
        <v>136</v>
      </c>
      <c r="L436" s="1">
        <v>45658</v>
      </c>
      <c r="M436" s="9">
        <f>Table11[[#This Row],[quantity]]*Table11[[#This Row],[price]]</f>
        <v>602195.20000000007</v>
      </c>
    </row>
    <row r="437" spans="1:13" x14ac:dyDescent="0.3">
      <c r="A437" t="s">
        <v>1103</v>
      </c>
      <c r="B437" t="s">
        <v>269</v>
      </c>
      <c r="C437" s="1">
        <v>45835.025694444441</v>
      </c>
      <c r="D437" t="s">
        <v>32</v>
      </c>
      <c r="E437" t="s">
        <v>166</v>
      </c>
      <c r="F437">
        <v>584</v>
      </c>
      <c r="G437">
        <v>2239.9</v>
      </c>
      <c r="H437">
        <v>654.04999999999995</v>
      </c>
      <c r="I437" t="s">
        <v>84</v>
      </c>
      <c r="J437" t="s">
        <v>142</v>
      </c>
      <c r="L437" s="1">
        <v>45709</v>
      </c>
      <c r="M437" s="9">
        <f>Table11[[#This Row],[quantity]]*Table11[[#This Row],[price]]</f>
        <v>1308101.6000000001</v>
      </c>
    </row>
    <row r="438" spans="1:13" x14ac:dyDescent="0.3">
      <c r="A438" t="s">
        <v>1104</v>
      </c>
      <c r="B438" t="s">
        <v>415</v>
      </c>
      <c r="C438" s="1">
        <v>45819.013194444437</v>
      </c>
      <c r="D438" t="s">
        <v>37</v>
      </c>
      <c r="E438" t="s">
        <v>166</v>
      </c>
      <c r="F438">
        <v>728</v>
      </c>
      <c r="G438">
        <v>256.85000000000002</v>
      </c>
      <c r="H438">
        <v>93.49</v>
      </c>
      <c r="I438" t="s">
        <v>68</v>
      </c>
      <c r="J438" t="s">
        <v>136</v>
      </c>
      <c r="L438" s="1">
        <v>45736</v>
      </c>
      <c r="M438" s="9">
        <f>Table11[[#This Row],[quantity]]*Table11[[#This Row],[price]]</f>
        <v>186986.80000000002</v>
      </c>
    </row>
    <row r="439" spans="1:13" x14ac:dyDescent="0.3">
      <c r="A439" t="s">
        <v>1105</v>
      </c>
      <c r="B439" t="s">
        <v>277</v>
      </c>
      <c r="C439" s="1">
        <v>45714.030555555553</v>
      </c>
      <c r="D439" t="s">
        <v>27</v>
      </c>
      <c r="E439" t="s">
        <v>166</v>
      </c>
      <c r="F439">
        <v>420</v>
      </c>
      <c r="G439">
        <v>775.37</v>
      </c>
      <c r="H439">
        <v>162.83000000000001</v>
      </c>
      <c r="I439" t="s">
        <v>54</v>
      </c>
      <c r="J439" t="s">
        <v>127</v>
      </c>
      <c r="L439" s="1">
        <v>45789</v>
      </c>
      <c r="M439" s="9">
        <f>Table11[[#This Row],[quantity]]*Table11[[#This Row],[price]]</f>
        <v>325655.40000000002</v>
      </c>
    </row>
    <row r="440" spans="1:13" x14ac:dyDescent="0.3">
      <c r="A440" t="s">
        <v>1106</v>
      </c>
      <c r="B440" t="s">
        <v>164</v>
      </c>
      <c r="C440" s="1">
        <v>45744.000694444447</v>
      </c>
      <c r="D440" t="s">
        <v>29</v>
      </c>
      <c r="E440" t="s">
        <v>161</v>
      </c>
      <c r="F440">
        <v>238</v>
      </c>
      <c r="G440">
        <v>1278.1400000000001</v>
      </c>
      <c r="H440">
        <v>152.1</v>
      </c>
      <c r="I440" t="s">
        <v>84</v>
      </c>
      <c r="J440" t="s">
        <v>118</v>
      </c>
      <c r="L440" s="1">
        <v>45720</v>
      </c>
      <c r="M440" s="9">
        <f>Table11[[#This Row],[quantity]]*Table11[[#This Row],[price]]</f>
        <v>304197.32</v>
      </c>
    </row>
    <row r="441" spans="1:13" x14ac:dyDescent="0.3">
      <c r="A441" t="s">
        <v>1107</v>
      </c>
      <c r="B441" t="s">
        <v>298</v>
      </c>
      <c r="C441" s="1">
        <v>45685.032638888893</v>
      </c>
      <c r="D441" t="s">
        <v>27</v>
      </c>
      <c r="E441" t="s">
        <v>166</v>
      </c>
      <c r="F441">
        <v>344</v>
      </c>
      <c r="G441">
        <v>761.06</v>
      </c>
      <c r="H441">
        <v>130.9</v>
      </c>
      <c r="I441" t="s">
        <v>66</v>
      </c>
      <c r="J441" t="s">
        <v>121</v>
      </c>
      <c r="L441" s="1">
        <v>45734</v>
      </c>
      <c r="M441" s="9">
        <f>Table11[[#This Row],[quantity]]*Table11[[#This Row],[price]]</f>
        <v>261804.63999999998</v>
      </c>
    </row>
    <row r="442" spans="1:13" x14ac:dyDescent="0.3">
      <c r="A442" t="s">
        <v>1108</v>
      </c>
      <c r="B442" t="s">
        <v>492</v>
      </c>
      <c r="C442" s="1">
        <v>45712.021527777782</v>
      </c>
      <c r="D442" t="s">
        <v>37</v>
      </c>
      <c r="E442" t="s">
        <v>166</v>
      </c>
      <c r="F442">
        <v>677</v>
      </c>
      <c r="G442">
        <v>231.43</v>
      </c>
      <c r="H442">
        <v>78.34</v>
      </c>
      <c r="I442" t="s">
        <v>106</v>
      </c>
      <c r="J442" t="s">
        <v>136</v>
      </c>
      <c r="L442" s="1">
        <v>45825</v>
      </c>
      <c r="M442" s="9">
        <f>Table11[[#This Row],[quantity]]*Table11[[#This Row],[price]]</f>
        <v>156678.11000000002</v>
      </c>
    </row>
    <row r="443" spans="1:13" x14ac:dyDescent="0.3">
      <c r="A443" t="s">
        <v>1109</v>
      </c>
      <c r="B443" t="s">
        <v>595</v>
      </c>
      <c r="C443" s="1">
        <v>45805.018055555563</v>
      </c>
      <c r="D443" t="s">
        <v>43</v>
      </c>
      <c r="E443" t="s">
        <v>166</v>
      </c>
      <c r="F443">
        <v>390</v>
      </c>
      <c r="G443">
        <v>1446.06</v>
      </c>
      <c r="H443">
        <v>281.98</v>
      </c>
      <c r="I443" t="s">
        <v>74</v>
      </c>
      <c r="J443" t="s">
        <v>115</v>
      </c>
      <c r="L443" s="1">
        <v>45821</v>
      </c>
      <c r="M443" s="9">
        <f>Table11[[#This Row],[quantity]]*Table11[[#This Row],[price]]</f>
        <v>563963.4</v>
      </c>
    </row>
    <row r="444" spans="1:13" x14ac:dyDescent="0.3">
      <c r="A444" t="s">
        <v>1110</v>
      </c>
      <c r="B444" t="s">
        <v>409</v>
      </c>
      <c r="C444" s="1">
        <v>45679.040972222218</v>
      </c>
      <c r="D444" t="s">
        <v>27</v>
      </c>
      <c r="E444" t="s">
        <v>161</v>
      </c>
      <c r="F444">
        <v>287</v>
      </c>
      <c r="G444">
        <v>732.76</v>
      </c>
      <c r="H444">
        <v>105.15</v>
      </c>
      <c r="I444" t="s">
        <v>90</v>
      </c>
      <c r="J444" t="s">
        <v>118</v>
      </c>
      <c r="L444" s="1">
        <v>45729</v>
      </c>
      <c r="M444" s="9">
        <f>Table11[[#This Row],[quantity]]*Table11[[#This Row],[price]]</f>
        <v>210302.12</v>
      </c>
    </row>
    <row r="445" spans="1:13" x14ac:dyDescent="0.3">
      <c r="A445" t="s">
        <v>1111</v>
      </c>
      <c r="B445" t="s">
        <v>341</v>
      </c>
      <c r="C445" s="1">
        <v>45800.023611111108</v>
      </c>
      <c r="D445" t="s">
        <v>27</v>
      </c>
      <c r="E445" t="s">
        <v>166</v>
      </c>
      <c r="F445">
        <v>928</v>
      </c>
      <c r="G445">
        <v>801.23</v>
      </c>
      <c r="H445">
        <v>371.77</v>
      </c>
      <c r="I445" t="s">
        <v>106</v>
      </c>
      <c r="J445" t="s">
        <v>130</v>
      </c>
      <c r="L445" s="1">
        <v>45814</v>
      </c>
      <c r="M445" s="9">
        <f>Table11[[#This Row],[quantity]]*Table11[[#This Row],[price]]</f>
        <v>743541.44000000006</v>
      </c>
    </row>
    <row r="446" spans="1:13" x14ac:dyDescent="0.3">
      <c r="A446" t="s">
        <v>1112</v>
      </c>
      <c r="B446" t="s">
        <v>349</v>
      </c>
      <c r="C446" s="1">
        <v>45700.029861111107</v>
      </c>
      <c r="D446" t="s">
        <v>41</v>
      </c>
      <c r="E446" t="s">
        <v>166</v>
      </c>
      <c r="F446">
        <v>848</v>
      </c>
      <c r="G446">
        <v>540.29999999999995</v>
      </c>
      <c r="H446">
        <v>229.09</v>
      </c>
      <c r="I446" t="s">
        <v>108</v>
      </c>
      <c r="J446" t="s">
        <v>115</v>
      </c>
      <c r="L446" s="1">
        <v>45819</v>
      </c>
      <c r="M446" s="9">
        <f>Table11[[#This Row],[quantity]]*Table11[[#This Row],[price]]</f>
        <v>458174.39999999997</v>
      </c>
    </row>
    <row r="447" spans="1:13" x14ac:dyDescent="0.3">
      <c r="A447" t="s">
        <v>1113</v>
      </c>
      <c r="B447" t="s">
        <v>321</v>
      </c>
      <c r="C447" s="1">
        <v>45678.000694444447</v>
      </c>
      <c r="D447" t="s">
        <v>39</v>
      </c>
      <c r="E447" t="s">
        <v>161</v>
      </c>
      <c r="F447">
        <v>897</v>
      </c>
      <c r="G447">
        <v>243</v>
      </c>
      <c r="H447">
        <v>108.99</v>
      </c>
      <c r="I447" t="s">
        <v>106</v>
      </c>
      <c r="J447" t="s">
        <v>118</v>
      </c>
      <c r="L447" s="1">
        <v>45826</v>
      </c>
      <c r="M447" s="9">
        <f>Table11[[#This Row],[quantity]]*Table11[[#This Row],[price]]</f>
        <v>217971</v>
      </c>
    </row>
    <row r="448" spans="1:13" x14ac:dyDescent="0.3">
      <c r="A448" t="s">
        <v>1114</v>
      </c>
      <c r="B448" t="s">
        <v>457</v>
      </c>
      <c r="C448" s="1">
        <v>45772.020138888889</v>
      </c>
      <c r="D448" t="s">
        <v>32</v>
      </c>
      <c r="E448" t="s">
        <v>166</v>
      </c>
      <c r="F448">
        <v>234</v>
      </c>
      <c r="G448">
        <v>2123.2399999999998</v>
      </c>
      <c r="H448">
        <v>248.42</v>
      </c>
      <c r="I448" t="s">
        <v>74</v>
      </c>
      <c r="J448" t="s">
        <v>118</v>
      </c>
      <c r="L448" s="1">
        <v>45783</v>
      </c>
      <c r="M448" s="9">
        <f>Table11[[#This Row],[quantity]]*Table11[[#This Row],[price]]</f>
        <v>496838.16</v>
      </c>
    </row>
    <row r="449" spans="1:13" x14ac:dyDescent="0.3">
      <c r="A449" t="s">
        <v>1115</v>
      </c>
      <c r="B449" t="s">
        <v>267</v>
      </c>
      <c r="C449" s="1">
        <v>45758.003472222219</v>
      </c>
      <c r="D449" t="s">
        <v>35</v>
      </c>
      <c r="E449" t="s">
        <v>166</v>
      </c>
      <c r="F449">
        <v>878</v>
      </c>
      <c r="G449">
        <v>625.25</v>
      </c>
      <c r="H449">
        <v>274.48</v>
      </c>
      <c r="I449" t="s">
        <v>48</v>
      </c>
      <c r="J449" t="s">
        <v>121</v>
      </c>
      <c r="L449" s="1">
        <v>45702</v>
      </c>
      <c r="M449" s="9">
        <f>Table11[[#This Row],[quantity]]*Table11[[#This Row],[price]]</f>
        <v>548969.5</v>
      </c>
    </row>
    <row r="450" spans="1:13" x14ac:dyDescent="0.3">
      <c r="A450" t="s">
        <v>1116</v>
      </c>
      <c r="B450" t="s">
        <v>655</v>
      </c>
      <c r="C450" s="1">
        <v>45758.008333333331</v>
      </c>
      <c r="D450" t="s">
        <v>43</v>
      </c>
      <c r="E450" t="s">
        <v>161</v>
      </c>
      <c r="F450">
        <v>644</v>
      </c>
      <c r="G450">
        <v>1284.57</v>
      </c>
      <c r="H450">
        <v>413.63</v>
      </c>
      <c r="I450" t="s">
        <v>100</v>
      </c>
      <c r="J450" t="s">
        <v>115</v>
      </c>
      <c r="L450" s="1">
        <v>45783</v>
      </c>
      <c r="M450" s="9">
        <f>Table11[[#This Row],[quantity]]*Table11[[#This Row],[price]]</f>
        <v>827263.08</v>
      </c>
    </row>
    <row r="451" spans="1:13" x14ac:dyDescent="0.3">
      <c r="A451" t="s">
        <v>1117</v>
      </c>
      <c r="B451" t="s">
        <v>251</v>
      </c>
      <c r="C451" s="1">
        <v>45728.006944444453</v>
      </c>
      <c r="D451" t="s">
        <v>41</v>
      </c>
      <c r="E451" t="s">
        <v>166</v>
      </c>
      <c r="F451">
        <v>796</v>
      </c>
      <c r="G451">
        <v>573.79999999999995</v>
      </c>
      <c r="H451">
        <v>228.37</v>
      </c>
      <c r="I451" t="s">
        <v>104</v>
      </c>
      <c r="J451" t="s">
        <v>142</v>
      </c>
      <c r="L451" s="1">
        <v>45694</v>
      </c>
      <c r="M451" s="9">
        <f>Table11[[#This Row],[quantity]]*Table11[[#This Row],[price]]</f>
        <v>456744.8</v>
      </c>
    </row>
    <row r="452" spans="1:13" x14ac:dyDescent="0.3">
      <c r="A452" t="s">
        <v>1118</v>
      </c>
      <c r="B452" t="s">
        <v>343</v>
      </c>
      <c r="C452" s="1">
        <v>45825.040277777778</v>
      </c>
      <c r="D452" t="s">
        <v>43</v>
      </c>
      <c r="E452" t="s">
        <v>161</v>
      </c>
      <c r="F452">
        <v>91</v>
      </c>
      <c r="G452">
        <v>1372.73</v>
      </c>
      <c r="H452">
        <v>62.46</v>
      </c>
      <c r="I452" t="s">
        <v>98</v>
      </c>
      <c r="J452" t="s">
        <v>121</v>
      </c>
      <c r="L452" s="1">
        <v>45747</v>
      </c>
      <c r="M452" s="9">
        <f>Table11[[#This Row],[quantity]]*Table11[[#This Row],[price]]</f>
        <v>124918.43000000001</v>
      </c>
    </row>
    <row r="453" spans="1:13" x14ac:dyDescent="0.3">
      <c r="A453" t="s">
        <v>1119</v>
      </c>
      <c r="B453" t="s">
        <v>296</v>
      </c>
      <c r="C453" s="1">
        <v>45761.039583333331</v>
      </c>
      <c r="D453" t="s">
        <v>29</v>
      </c>
      <c r="E453" t="s">
        <v>166</v>
      </c>
      <c r="F453">
        <v>418</v>
      </c>
      <c r="G453">
        <v>1300.2</v>
      </c>
      <c r="H453">
        <v>271.74</v>
      </c>
      <c r="I453" t="s">
        <v>60</v>
      </c>
      <c r="J453" t="s">
        <v>136</v>
      </c>
      <c r="L453" s="1">
        <v>45824</v>
      </c>
      <c r="M453" s="9">
        <f>Table11[[#This Row],[quantity]]*Table11[[#This Row],[price]]</f>
        <v>543483.6</v>
      </c>
    </row>
    <row r="454" spans="1:13" x14ac:dyDescent="0.3">
      <c r="A454" t="s">
        <v>1120</v>
      </c>
      <c r="B454" t="s">
        <v>272</v>
      </c>
      <c r="C454" s="1">
        <v>45693.038194444453</v>
      </c>
      <c r="D454" t="s">
        <v>43</v>
      </c>
      <c r="E454" t="s">
        <v>166</v>
      </c>
      <c r="F454">
        <v>721</v>
      </c>
      <c r="G454">
        <v>1041.8800000000001</v>
      </c>
      <c r="H454">
        <v>375.6</v>
      </c>
      <c r="I454" t="s">
        <v>68</v>
      </c>
      <c r="J454" t="s">
        <v>118</v>
      </c>
      <c r="L454" s="1">
        <v>45819</v>
      </c>
      <c r="M454" s="9">
        <f>Table11[[#This Row],[quantity]]*Table11[[#This Row],[price]]</f>
        <v>751195.4800000001</v>
      </c>
    </row>
    <row r="455" spans="1:13" x14ac:dyDescent="0.3">
      <c r="A455" t="s">
        <v>1121</v>
      </c>
      <c r="B455" t="s">
        <v>197</v>
      </c>
      <c r="C455" s="1">
        <v>45728.009027777778</v>
      </c>
      <c r="D455" t="s">
        <v>29</v>
      </c>
      <c r="E455" t="s">
        <v>166</v>
      </c>
      <c r="F455">
        <v>280</v>
      </c>
      <c r="G455">
        <v>1317.94</v>
      </c>
      <c r="H455">
        <v>184.51</v>
      </c>
      <c r="I455" t="s">
        <v>88</v>
      </c>
      <c r="J455" t="s">
        <v>115</v>
      </c>
      <c r="L455" s="1">
        <v>45824</v>
      </c>
      <c r="M455" s="9">
        <f>Table11[[#This Row],[quantity]]*Table11[[#This Row],[price]]</f>
        <v>369023.2</v>
      </c>
    </row>
    <row r="456" spans="1:13" x14ac:dyDescent="0.3">
      <c r="A456" t="s">
        <v>1122</v>
      </c>
      <c r="B456" t="s">
        <v>310</v>
      </c>
      <c r="C456" s="1">
        <v>45800.011805555558</v>
      </c>
      <c r="D456" t="s">
        <v>27</v>
      </c>
      <c r="E456" t="s">
        <v>161</v>
      </c>
      <c r="F456">
        <v>659</v>
      </c>
      <c r="G456">
        <v>803.32</v>
      </c>
      <c r="H456">
        <v>264.69</v>
      </c>
      <c r="I456" t="s">
        <v>88</v>
      </c>
      <c r="J456" t="s">
        <v>136</v>
      </c>
      <c r="L456" s="1">
        <v>45688</v>
      </c>
      <c r="M456" s="9">
        <f>Table11[[#This Row],[quantity]]*Table11[[#This Row],[price]]</f>
        <v>529387.88</v>
      </c>
    </row>
    <row r="457" spans="1:13" x14ac:dyDescent="0.3">
      <c r="A457" t="s">
        <v>1123</v>
      </c>
      <c r="B457" t="s">
        <v>396</v>
      </c>
      <c r="C457" s="1">
        <v>45688.037499999999</v>
      </c>
      <c r="D457" t="s">
        <v>27</v>
      </c>
      <c r="E457" t="s">
        <v>161</v>
      </c>
      <c r="F457">
        <v>569</v>
      </c>
      <c r="G457">
        <v>751.4</v>
      </c>
      <c r="H457">
        <v>213.77</v>
      </c>
      <c r="I457" t="s">
        <v>100</v>
      </c>
      <c r="J457" t="s">
        <v>115</v>
      </c>
      <c r="L457" s="1">
        <v>45799</v>
      </c>
      <c r="M457" s="9">
        <f>Table11[[#This Row],[quantity]]*Table11[[#This Row],[price]]</f>
        <v>427546.6</v>
      </c>
    </row>
    <row r="458" spans="1:13" x14ac:dyDescent="0.3">
      <c r="A458" t="s">
        <v>1124</v>
      </c>
      <c r="B458" t="s">
        <v>269</v>
      </c>
      <c r="C458" s="1">
        <v>45754.001388888893</v>
      </c>
      <c r="D458" t="s">
        <v>29</v>
      </c>
      <c r="E458" t="s">
        <v>161</v>
      </c>
      <c r="F458">
        <v>834</v>
      </c>
      <c r="G458">
        <v>1312.35</v>
      </c>
      <c r="H458">
        <v>547.25</v>
      </c>
      <c r="I458" t="s">
        <v>60</v>
      </c>
      <c r="J458" t="s">
        <v>124</v>
      </c>
      <c r="L458" s="1">
        <v>45779</v>
      </c>
      <c r="M458" s="9">
        <f>Table11[[#This Row],[quantity]]*Table11[[#This Row],[price]]</f>
        <v>1094499.8999999999</v>
      </c>
    </row>
    <row r="459" spans="1:13" x14ac:dyDescent="0.3">
      <c r="A459" t="s">
        <v>1125</v>
      </c>
      <c r="B459" t="s">
        <v>588</v>
      </c>
      <c r="C459" s="1">
        <v>45691.025000000001</v>
      </c>
      <c r="D459" t="s">
        <v>27</v>
      </c>
      <c r="E459" t="s">
        <v>161</v>
      </c>
      <c r="F459">
        <v>230</v>
      </c>
      <c r="G459">
        <v>760.25</v>
      </c>
      <c r="H459">
        <v>87.43</v>
      </c>
      <c r="I459" t="s">
        <v>102</v>
      </c>
      <c r="J459" t="s">
        <v>124</v>
      </c>
      <c r="L459" s="1">
        <v>45695</v>
      </c>
      <c r="M459" s="9">
        <f>Table11[[#This Row],[quantity]]*Table11[[#This Row],[price]]</f>
        <v>174857.5</v>
      </c>
    </row>
    <row r="460" spans="1:13" x14ac:dyDescent="0.3">
      <c r="A460" t="s">
        <v>1126</v>
      </c>
      <c r="B460" t="s">
        <v>573</v>
      </c>
      <c r="C460" s="1">
        <v>45786.036111111112</v>
      </c>
      <c r="D460" t="s">
        <v>32</v>
      </c>
      <c r="E460" t="s">
        <v>166</v>
      </c>
      <c r="F460">
        <v>624</v>
      </c>
      <c r="G460">
        <v>2227.75</v>
      </c>
      <c r="H460">
        <v>695.06</v>
      </c>
      <c r="I460" t="s">
        <v>70</v>
      </c>
      <c r="J460" t="s">
        <v>118</v>
      </c>
      <c r="L460" s="1">
        <v>45772</v>
      </c>
      <c r="M460" s="9">
        <f>Table11[[#This Row],[quantity]]*Table11[[#This Row],[price]]</f>
        <v>1390116</v>
      </c>
    </row>
    <row r="461" spans="1:13" x14ac:dyDescent="0.3">
      <c r="A461" t="s">
        <v>1127</v>
      </c>
      <c r="B461" t="s">
        <v>268</v>
      </c>
      <c r="C461" s="1">
        <v>45677.01458333333</v>
      </c>
      <c r="D461" t="s">
        <v>39</v>
      </c>
      <c r="E461" t="s">
        <v>161</v>
      </c>
      <c r="F461">
        <v>451</v>
      </c>
      <c r="G461">
        <v>243.63</v>
      </c>
      <c r="H461">
        <v>54.94</v>
      </c>
      <c r="I461" t="s">
        <v>106</v>
      </c>
      <c r="J461" t="s">
        <v>130</v>
      </c>
      <c r="L461" s="1">
        <v>45698</v>
      </c>
      <c r="M461" s="9">
        <f>Table11[[#This Row],[quantity]]*Table11[[#This Row],[price]]</f>
        <v>109877.13</v>
      </c>
    </row>
    <row r="462" spans="1:13" x14ac:dyDescent="0.3">
      <c r="A462" t="s">
        <v>1128</v>
      </c>
      <c r="B462" t="s">
        <v>191</v>
      </c>
      <c r="C462" s="1">
        <v>45784.001388888893</v>
      </c>
      <c r="D462" t="s">
        <v>37</v>
      </c>
      <c r="E462" t="s">
        <v>161</v>
      </c>
      <c r="F462">
        <v>176</v>
      </c>
      <c r="G462">
        <v>257.83999999999997</v>
      </c>
      <c r="H462">
        <v>22.69</v>
      </c>
      <c r="I462" t="s">
        <v>80</v>
      </c>
      <c r="J462" t="s">
        <v>127</v>
      </c>
      <c r="L462" s="1">
        <v>45671</v>
      </c>
      <c r="M462" s="9">
        <f>Table11[[#This Row],[quantity]]*Table11[[#This Row],[price]]</f>
        <v>45379.839999999997</v>
      </c>
    </row>
    <row r="463" spans="1:13" x14ac:dyDescent="0.3">
      <c r="A463" t="s">
        <v>1129</v>
      </c>
      <c r="B463" t="s">
        <v>655</v>
      </c>
      <c r="C463" s="1">
        <v>45811.040277777778</v>
      </c>
      <c r="D463" t="s">
        <v>41</v>
      </c>
      <c r="E463" t="s">
        <v>161</v>
      </c>
      <c r="F463">
        <v>991</v>
      </c>
      <c r="G463">
        <v>615.47</v>
      </c>
      <c r="H463">
        <v>304.97000000000003</v>
      </c>
      <c r="I463" t="s">
        <v>108</v>
      </c>
      <c r="J463" t="s">
        <v>127</v>
      </c>
      <c r="L463" s="1">
        <v>45838</v>
      </c>
      <c r="M463" s="9">
        <f>Table11[[#This Row],[quantity]]*Table11[[#This Row],[price]]</f>
        <v>609930.77</v>
      </c>
    </row>
    <row r="464" spans="1:13" x14ac:dyDescent="0.3">
      <c r="A464" t="s">
        <v>1130</v>
      </c>
      <c r="B464" t="s">
        <v>172</v>
      </c>
      <c r="C464" s="1">
        <v>45686.034722222219</v>
      </c>
      <c r="D464" t="s">
        <v>37</v>
      </c>
      <c r="E464" t="s">
        <v>166</v>
      </c>
      <c r="F464">
        <v>150</v>
      </c>
      <c r="G464">
        <v>236.99</v>
      </c>
      <c r="H464">
        <v>17.77</v>
      </c>
      <c r="I464" t="s">
        <v>80</v>
      </c>
      <c r="J464" t="s">
        <v>133</v>
      </c>
      <c r="L464" s="1">
        <v>45806</v>
      </c>
      <c r="M464" s="9">
        <f>Table11[[#This Row],[quantity]]*Table11[[#This Row],[price]]</f>
        <v>35548.5</v>
      </c>
    </row>
    <row r="465" spans="1:13" x14ac:dyDescent="0.3">
      <c r="A465" t="s">
        <v>1131</v>
      </c>
      <c r="B465" t="s">
        <v>396</v>
      </c>
      <c r="C465" s="1">
        <v>45708.001388888893</v>
      </c>
      <c r="D465" t="s">
        <v>43</v>
      </c>
      <c r="E465" t="s">
        <v>166</v>
      </c>
      <c r="F465">
        <v>696</v>
      </c>
      <c r="G465">
        <v>1058.01</v>
      </c>
      <c r="H465">
        <v>368.19</v>
      </c>
      <c r="I465" t="s">
        <v>88</v>
      </c>
      <c r="J465" t="s">
        <v>130</v>
      </c>
      <c r="L465" s="1">
        <v>45786</v>
      </c>
      <c r="M465" s="9">
        <f>Table11[[#This Row],[quantity]]*Table11[[#This Row],[price]]</f>
        <v>736374.96</v>
      </c>
    </row>
    <row r="466" spans="1:13" x14ac:dyDescent="0.3">
      <c r="A466" t="s">
        <v>1132</v>
      </c>
      <c r="B466" t="s">
        <v>636</v>
      </c>
      <c r="C466" s="1">
        <v>45701.029166666667</v>
      </c>
      <c r="D466" t="s">
        <v>39</v>
      </c>
      <c r="E466" t="s">
        <v>166</v>
      </c>
      <c r="F466">
        <v>235</v>
      </c>
      <c r="G466">
        <v>231.88</v>
      </c>
      <c r="H466">
        <v>27.25</v>
      </c>
      <c r="I466" t="s">
        <v>106</v>
      </c>
      <c r="J466" t="s">
        <v>136</v>
      </c>
      <c r="L466" s="1">
        <v>45792</v>
      </c>
      <c r="M466" s="9">
        <f>Table11[[#This Row],[quantity]]*Table11[[#This Row],[price]]</f>
        <v>54491.799999999996</v>
      </c>
    </row>
    <row r="467" spans="1:13" x14ac:dyDescent="0.3">
      <c r="A467" t="s">
        <v>1133</v>
      </c>
      <c r="B467" t="s">
        <v>441</v>
      </c>
      <c r="C467" s="1">
        <v>45709.017361111109</v>
      </c>
      <c r="D467" t="s">
        <v>29</v>
      </c>
      <c r="E467" t="s">
        <v>166</v>
      </c>
      <c r="F467">
        <v>34</v>
      </c>
      <c r="G467">
        <v>1231.9000000000001</v>
      </c>
      <c r="H467">
        <v>20.94</v>
      </c>
      <c r="I467" t="s">
        <v>54</v>
      </c>
      <c r="J467" t="s">
        <v>133</v>
      </c>
      <c r="L467" s="1">
        <v>45820</v>
      </c>
      <c r="M467" s="9">
        <f>Table11[[#This Row],[quantity]]*Table11[[#This Row],[price]]</f>
        <v>41884.600000000006</v>
      </c>
    </row>
    <row r="468" spans="1:13" x14ac:dyDescent="0.3">
      <c r="A468" t="s">
        <v>1134</v>
      </c>
      <c r="B468" t="s">
        <v>225</v>
      </c>
      <c r="C468" s="1">
        <v>45714.030555555553</v>
      </c>
      <c r="D468" t="s">
        <v>43</v>
      </c>
      <c r="E468" t="s">
        <v>166</v>
      </c>
      <c r="F468">
        <v>167</v>
      </c>
      <c r="G468">
        <v>1061.79</v>
      </c>
      <c r="H468">
        <v>88.66</v>
      </c>
      <c r="I468" t="s">
        <v>102</v>
      </c>
      <c r="J468" t="s">
        <v>133</v>
      </c>
      <c r="L468" s="1">
        <v>45763</v>
      </c>
      <c r="M468" s="9">
        <f>Table11[[#This Row],[quantity]]*Table11[[#This Row],[price]]</f>
        <v>177318.93</v>
      </c>
    </row>
    <row r="469" spans="1:13" x14ac:dyDescent="0.3">
      <c r="A469" t="s">
        <v>1135</v>
      </c>
      <c r="B469" t="s">
        <v>647</v>
      </c>
      <c r="C469" s="1">
        <v>45726.009722222218</v>
      </c>
      <c r="D469" t="s">
        <v>29</v>
      </c>
      <c r="E469" t="s">
        <v>161</v>
      </c>
      <c r="F469">
        <v>668</v>
      </c>
      <c r="G469">
        <v>1290.5899999999999</v>
      </c>
      <c r="H469">
        <v>431.06</v>
      </c>
      <c r="I469" t="s">
        <v>102</v>
      </c>
      <c r="J469" t="s">
        <v>121</v>
      </c>
      <c r="L469" s="1">
        <v>45793</v>
      </c>
      <c r="M469" s="9">
        <f>Table11[[#This Row],[quantity]]*Table11[[#This Row],[price]]</f>
        <v>862114.12</v>
      </c>
    </row>
    <row r="470" spans="1:13" x14ac:dyDescent="0.3">
      <c r="A470" t="s">
        <v>1136</v>
      </c>
      <c r="B470" t="s">
        <v>270</v>
      </c>
      <c r="C470" s="1">
        <v>45811.018750000003</v>
      </c>
      <c r="D470" t="s">
        <v>41</v>
      </c>
      <c r="E470" t="s">
        <v>161</v>
      </c>
      <c r="F470">
        <v>429</v>
      </c>
      <c r="G470">
        <v>614.58000000000004</v>
      </c>
      <c r="H470">
        <v>131.83000000000001</v>
      </c>
      <c r="I470" t="s">
        <v>54</v>
      </c>
      <c r="J470" t="s">
        <v>118</v>
      </c>
      <c r="L470" s="1">
        <v>45685</v>
      </c>
      <c r="M470" s="9">
        <f>Table11[[#This Row],[quantity]]*Table11[[#This Row],[price]]</f>
        <v>263654.82</v>
      </c>
    </row>
    <row r="471" spans="1:13" x14ac:dyDescent="0.3">
      <c r="A471" t="s">
        <v>1137</v>
      </c>
      <c r="B471" t="s">
        <v>282</v>
      </c>
      <c r="C471" s="1">
        <v>45708.038888888892</v>
      </c>
      <c r="D471" t="s">
        <v>41</v>
      </c>
      <c r="E471" t="s">
        <v>166</v>
      </c>
      <c r="F471">
        <v>55</v>
      </c>
      <c r="G471">
        <v>551.13</v>
      </c>
      <c r="H471">
        <v>15.16</v>
      </c>
      <c r="I471" t="s">
        <v>54</v>
      </c>
      <c r="J471" t="s">
        <v>130</v>
      </c>
      <c r="L471" s="1">
        <v>45782</v>
      </c>
      <c r="M471" s="9">
        <f>Table11[[#This Row],[quantity]]*Table11[[#This Row],[price]]</f>
        <v>30312.15</v>
      </c>
    </row>
    <row r="472" spans="1:13" x14ac:dyDescent="0.3">
      <c r="A472" t="s">
        <v>1138</v>
      </c>
      <c r="B472" t="s">
        <v>234</v>
      </c>
      <c r="C472" s="1">
        <v>45832.039583333331</v>
      </c>
      <c r="D472" t="s">
        <v>39</v>
      </c>
      <c r="E472" t="s">
        <v>166</v>
      </c>
      <c r="F472">
        <v>713</v>
      </c>
      <c r="G472">
        <v>215.63</v>
      </c>
      <c r="H472">
        <v>76.87</v>
      </c>
      <c r="I472" t="s">
        <v>60</v>
      </c>
      <c r="J472" t="s">
        <v>130</v>
      </c>
      <c r="L472" s="1">
        <v>45799</v>
      </c>
      <c r="M472" s="9">
        <f>Table11[[#This Row],[quantity]]*Table11[[#This Row],[price]]</f>
        <v>153744.19</v>
      </c>
    </row>
    <row r="473" spans="1:13" x14ac:dyDescent="0.3">
      <c r="A473" t="s">
        <v>1139</v>
      </c>
      <c r="B473" t="s">
        <v>427</v>
      </c>
      <c r="C473" s="1">
        <v>45742.005555555559</v>
      </c>
      <c r="D473" t="s">
        <v>32</v>
      </c>
      <c r="E473" t="s">
        <v>161</v>
      </c>
      <c r="F473">
        <v>792</v>
      </c>
      <c r="G473">
        <v>2162.29</v>
      </c>
      <c r="H473">
        <v>856.27</v>
      </c>
      <c r="I473" t="s">
        <v>82</v>
      </c>
      <c r="J473" t="s">
        <v>127</v>
      </c>
      <c r="L473" s="1">
        <v>45659</v>
      </c>
      <c r="M473" s="9">
        <f>Table11[[#This Row],[quantity]]*Table11[[#This Row],[price]]</f>
        <v>1712533.68</v>
      </c>
    </row>
    <row r="474" spans="1:13" x14ac:dyDescent="0.3">
      <c r="A474" t="s">
        <v>1140</v>
      </c>
      <c r="B474" t="s">
        <v>397</v>
      </c>
      <c r="C474" s="1">
        <v>45673.03402777778</v>
      </c>
      <c r="D474" t="s">
        <v>43</v>
      </c>
      <c r="E474" t="s">
        <v>166</v>
      </c>
      <c r="F474">
        <v>823</v>
      </c>
      <c r="G474">
        <v>974.03</v>
      </c>
      <c r="H474">
        <v>400.81</v>
      </c>
      <c r="I474" t="s">
        <v>74</v>
      </c>
      <c r="J474" t="s">
        <v>133</v>
      </c>
      <c r="L474" s="1">
        <v>45681</v>
      </c>
      <c r="M474" s="9">
        <f>Table11[[#This Row],[quantity]]*Table11[[#This Row],[price]]</f>
        <v>801626.69</v>
      </c>
    </row>
    <row r="475" spans="1:13" x14ac:dyDescent="0.3">
      <c r="A475" t="s">
        <v>1141</v>
      </c>
      <c r="B475" t="s">
        <v>399</v>
      </c>
      <c r="C475" s="1">
        <v>45769.037499999999</v>
      </c>
      <c r="D475" t="s">
        <v>39</v>
      </c>
      <c r="E475" t="s">
        <v>166</v>
      </c>
      <c r="F475">
        <v>656</v>
      </c>
      <c r="G475">
        <v>246.17</v>
      </c>
      <c r="H475">
        <v>80.739999999999995</v>
      </c>
      <c r="I475" t="s">
        <v>100</v>
      </c>
      <c r="J475" t="s">
        <v>124</v>
      </c>
      <c r="L475" s="1">
        <v>45750</v>
      </c>
      <c r="M475" s="9">
        <f>Table11[[#This Row],[quantity]]*Table11[[#This Row],[price]]</f>
        <v>161487.51999999999</v>
      </c>
    </row>
    <row r="476" spans="1:13" x14ac:dyDescent="0.3">
      <c r="A476" t="s">
        <v>1142</v>
      </c>
      <c r="B476" t="s">
        <v>323</v>
      </c>
      <c r="C476" s="1">
        <v>45707.01666666667</v>
      </c>
      <c r="D476" t="s">
        <v>37</v>
      </c>
      <c r="E476" t="s">
        <v>161</v>
      </c>
      <c r="F476">
        <v>959</v>
      </c>
      <c r="G476">
        <v>234.02</v>
      </c>
      <c r="H476">
        <v>112.21</v>
      </c>
      <c r="I476" t="s">
        <v>92</v>
      </c>
      <c r="J476" t="s">
        <v>127</v>
      </c>
      <c r="L476" s="1">
        <v>45723</v>
      </c>
      <c r="M476" s="9">
        <f>Table11[[#This Row],[quantity]]*Table11[[#This Row],[price]]</f>
        <v>224425.18000000002</v>
      </c>
    </row>
    <row r="477" spans="1:13" x14ac:dyDescent="0.3">
      <c r="A477" t="s">
        <v>1143</v>
      </c>
      <c r="B477" t="s">
        <v>500</v>
      </c>
      <c r="C477" s="1">
        <v>45820.022222222222</v>
      </c>
      <c r="D477" t="s">
        <v>35</v>
      </c>
      <c r="E477" t="s">
        <v>166</v>
      </c>
      <c r="F477">
        <v>564</v>
      </c>
      <c r="G477">
        <v>684.35</v>
      </c>
      <c r="H477">
        <v>192.99</v>
      </c>
      <c r="I477" t="s">
        <v>78</v>
      </c>
      <c r="J477" t="s">
        <v>121</v>
      </c>
      <c r="L477" s="1">
        <v>45791</v>
      </c>
      <c r="M477" s="9">
        <f>Table11[[#This Row],[quantity]]*Table11[[#This Row],[price]]</f>
        <v>385973.4</v>
      </c>
    </row>
    <row r="478" spans="1:13" x14ac:dyDescent="0.3">
      <c r="A478" t="s">
        <v>1144</v>
      </c>
      <c r="B478" t="s">
        <v>564</v>
      </c>
      <c r="C478" s="1">
        <v>45769.033333333333</v>
      </c>
      <c r="D478" t="s">
        <v>35</v>
      </c>
      <c r="E478" t="s">
        <v>166</v>
      </c>
      <c r="F478">
        <v>345</v>
      </c>
      <c r="G478">
        <v>644.21</v>
      </c>
      <c r="H478">
        <v>111.13</v>
      </c>
      <c r="I478" t="s">
        <v>64</v>
      </c>
      <c r="J478" t="s">
        <v>142</v>
      </c>
      <c r="L478" s="1">
        <v>45674</v>
      </c>
      <c r="M478" s="9">
        <f>Table11[[#This Row],[quantity]]*Table11[[#This Row],[price]]</f>
        <v>222252.45</v>
      </c>
    </row>
    <row r="479" spans="1:13" x14ac:dyDescent="0.3">
      <c r="A479" t="s">
        <v>1145</v>
      </c>
      <c r="B479" t="s">
        <v>523</v>
      </c>
      <c r="C479" s="1">
        <v>45749.011111111111</v>
      </c>
      <c r="D479" t="s">
        <v>41</v>
      </c>
      <c r="E479" t="s">
        <v>166</v>
      </c>
      <c r="F479">
        <v>922</v>
      </c>
      <c r="G479">
        <v>582.94000000000005</v>
      </c>
      <c r="H479">
        <v>268.74</v>
      </c>
      <c r="I479" t="s">
        <v>60</v>
      </c>
      <c r="J479" t="s">
        <v>121</v>
      </c>
      <c r="L479" s="1">
        <v>45727</v>
      </c>
      <c r="M479" s="9">
        <f>Table11[[#This Row],[quantity]]*Table11[[#This Row],[price]]</f>
        <v>537470.68000000005</v>
      </c>
    </row>
    <row r="480" spans="1:13" x14ac:dyDescent="0.3">
      <c r="A480" t="s">
        <v>1146</v>
      </c>
      <c r="B480" t="s">
        <v>573</v>
      </c>
      <c r="C480" s="1">
        <v>45828.005555555559</v>
      </c>
      <c r="D480" t="s">
        <v>29</v>
      </c>
      <c r="E480" t="s">
        <v>166</v>
      </c>
      <c r="F480">
        <v>11</v>
      </c>
      <c r="G480">
        <v>1301.26</v>
      </c>
      <c r="H480">
        <v>7.16</v>
      </c>
      <c r="I480" t="s">
        <v>68</v>
      </c>
      <c r="J480" t="s">
        <v>136</v>
      </c>
      <c r="L480" s="1">
        <v>45692</v>
      </c>
      <c r="M480" s="9">
        <f>Table11[[#This Row],[quantity]]*Table11[[#This Row],[price]]</f>
        <v>14313.86</v>
      </c>
    </row>
    <row r="481" spans="1:13" x14ac:dyDescent="0.3">
      <c r="A481" t="s">
        <v>1147</v>
      </c>
      <c r="B481" t="s">
        <v>645</v>
      </c>
      <c r="C481" s="1">
        <v>45684.006249999999</v>
      </c>
      <c r="D481" t="s">
        <v>35</v>
      </c>
      <c r="E481" t="s">
        <v>161</v>
      </c>
      <c r="F481">
        <v>16</v>
      </c>
      <c r="G481">
        <v>601.22</v>
      </c>
      <c r="H481">
        <v>4.8099999999999996</v>
      </c>
      <c r="I481" t="s">
        <v>48</v>
      </c>
      <c r="J481" t="s">
        <v>124</v>
      </c>
      <c r="L481" s="1">
        <v>45692</v>
      </c>
      <c r="M481" s="9">
        <f>Table11[[#This Row],[quantity]]*Table11[[#This Row],[price]]</f>
        <v>9619.52</v>
      </c>
    </row>
    <row r="482" spans="1:13" x14ac:dyDescent="0.3">
      <c r="A482" t="s">
        <v>1148</v>
      </c>
      <c r="B482" t="s">
        <v>320</v>
      </c>
      <c r="C482" s="1">
        <v>45700.007638888892</v>
      </c>
      <c r="D482" t="s">
        <v>35</v>
      </c>
      <c r="E482" t="s">
        <v>166</v>
      </c>
      <c r="F482">
        <v>810</v>
      </c>
      <c r="G482">
        <v>617.54999999999995</v>
      </c>
      <c r="H482">
        <v>250.11</v>
      </c>
      <c r="I482" t="s">
        <v>90</v>
      </c>
      <c r="J482" t="s">
        <v>124</v>
      </c>
      <c r="L482" s="1">
        <v>45685</v>
      </c>
      <c r="M482" s="9">
        <f>Table11[[#This Row],[quantity]]*Table11[[#This Row],[price]]</f>
        <v>500215.49999999994</v>
      </c>
    </row>
    <row r="483" spans="1:13" x14ac:dyDescent="0.3">
      <c r="A483" t="s">
        <v>1149</v>
      </c>
      <c r="B483" t="s">
        <v>473</v>
      </c>
      <c r="C483" s="1">
        <v>45684.026388888888</v>
      </c>
      <c r="D483" t="s">
        <v>43</v>
      </c>
      <c r="E483" t="s">
        <v>161</v>
      </c>
      <c r="F483">
        <v>858</v>
      </c>
      <c r="G483">
        <v>979.96</v>
      </c>
      <c r="H483">
        <v>420.4</v>
      </c>
      <c r="I483" t="s">
        <v>108</v>
      </c>
      <c r="J483" t="s">
        <v>127</v>
      </c>
      <c r="L483" s="1">
        <v>45714</v>
      </c>
      <c r="M483" s="9">
        <f>Table11[[#This Row],[quantity]]*Table11[[#This Row],[price]]</f>
        <v>840805.68</v>
      </c>
    </row>
    <row r="484" spans="1:13" x14ac:dyDescent="0.3">
      <c r="A484" t="s">
        <v>1150</v>
      </c>
      <c r="B484" t="s">
        <v>308</v>
      </c>
      <c r="C484" s="1">
        <v>45770.038888888892</v>
      </c>
      <c r="D484" t="s">
        <v>37</v>
      </c>
      <c r="E484" t="s">
        <v>166</v>
      </c>
      <c r="F484">
        <v>616</v>
      </c>
      <c r="G484">
        <v>265.17</v>
      </c>
      <c r="H484">
        <v>81.67</v>
      </c>
      <c r="I484" t="s">
        <v>100</v>
      </c>
      <c r="J484" t="s">
        <v>127</v>
      </c>
      <c r="L484" s="1">
        <v>45714</v>
      </c>
      <c r="M484" s="9">
        <f>Table11[[#This Row],[quantity]]*Table11[[#This Row],[price]]</f>
        <v>163344.72</v>
      </c>
    </row>
    <row r="485" spans="1:13" x14ac:dyDescent="0.3">
      <c r="A485" t="s">
        <v>1151</v>
      </c>
      <c r="B485" t="s">
        <v>354</v>
      </c>
      <c r="C485" s="1">
        <v>45736.00277777778</v>
      </c>
      <c r="D485" t="s">
        <v>27</v>
      </c>
      <c r="E485" t="s">
        <v>166</v>
      </c>
      <c r="F485">
        <v>666</v>
      </c>
      <c r="G485">
        <v>766.69</v>
      </c>
      <c r="H485">
        <v>255.31</v>
      </c>
      <c r="I485" t="s">
        <v>108</v>
      </c>
      <c r="J485" t="s">
        <v>142</v>
      </c>
      <c r="L485" s="1">
        <v>45792</v>
      </c>
      <c r="M485" s="9">
        <f>Table11[[#This Row],[quantity]]*Table11[[#This Row],[price]]</f>
        <v>510615.54000000004</v>
      </c>
    </row>
    <row r="486" spans="1:13" x14ac:dyDescent="0.3">
      <c r="A486" t="s">
        <v>1152</v>
      </c>
      <c r="B486" t="s">
        <v>517</v>
      </c>
      <c r="C486" s="1">
        <v>45686.034722222219</v>
      </c>
      <c r="D486" t="s">
        <v>43</v>
      </c>
      <c r="E486" t="s">
        <v>166</v>
      </c>
      <c r="F486">
        <v>61</v>
      </c>
      <c r="G486">
        <v>973.26</v>
      </c>
      <c r="H486">
        <v>29.68</v>
      </c>
      <c r="I486" t="s">
        <v>68</v>
      </c>
      <c r="J486" t="s">
        <v>139</v>
      </c>
      <c r="L486" s="1">
        <v>45819</v>
      </c>
      <c r="M486" s="9">
        <f>Table11[[#This Row],[quantity]]*Table11[[#This Row],[price]]</f>
        <v>59368.86</v>
      </c>
    </row>
    <row r="487" spans="1:13" x14ac:dyDescent="0.3">
      <c r="A487" t="s">
        <v>1153</v>
      </c>
      <c r="B487" t="s">
        <v>494</v>
      </c>
      <c r="C487" s="1">
        <v>45751.001388888893</v>
      </c>
      <c r="D487" t="s">
        <v>43</v>
      </c>
      <c r="E487" t="s">
        <v>161</v>
      </c>
      <c r="F487">
        <v>515</v>
      </c>
      <c r="G487">
        <v>1214.01</v>
      </c>
      <c r="H487">
        <v>312.61</v>
      </c>
      <c r="I487" t="s">
        <v>76</v>
      </c>
      <c r="J487" t="s">
        <v>127</v>
      </c>
      <c r="L487" s="1">
        <v>45665</v>
      </c>
      <c r="M487" s="9">
        <f>Table11[[#This Row],[quantity]]*Table11[[#This Row],[price]]</f>
        <v>625215.15</v>
      </c>
    </row>
    <row r="488" spans="1:13" x14ac:dyDescent="0.3">
      <c r="A488" t="s">
        <v>1154</v>
      </c>
      <c r="B488" t="s">
        <v>265</v>
      </c>
      <c r="C488" s="1">
        <v>45807.004861111112</v>
      </c>
      <c r="D488" t="s">
        <v>29</v>
      </c>
      <c r="E488" t="s">
        <v>166</v>
      </c>
      <c r="F488">
        <v>972</v>
      </c>
      <c r="G488">
        <v>1271.2</v>
      </c>
      <c r="H488">
        <v>617.79999999999995</v>
      </c>
      <c r="I488" t="s">
        <v>82</v>
      </c>
      <c r="J488" t="s">
        <v>130</v>
      </c>
      <c r="L488" s="1">
        <v>45713</v>
      </c>
      <c r="M488" s="9">
        <f>Table11[[#This Row],[quantity]]*Table11[[#This Row],[price]]</f>
        <v>1235606.4000000001</v>
      </c>
    </row>
    <row r="489" spans="1:13" x14ac:dyDescent="0.3">
      <c r="A489" t="s">
        <v>1155</v>
      </c>
      <c r="B489" t="s">
        <v>297</v>
      </c>
      <c r="C489" s="1">
        <v>45750.003472222219</v>
      </c>
      <c r="D489" t="s">
        <v>39</v>
      </c>
      <c r="E489" t="s">
        <v>166</v>
      </c>
      <c r="F489">
        <v>814</v>
      </c>
      <c r="G489">
        <v>235.57</v>
      </c>
      <c r="H489">
        <v>95.88</v>
      </c>
      <c r="I489" t="s">
        <v>90</v>
      </c>
      <c r="J489" t="s">
        <v>139</v>
      </c>
      <c r="L489" s="1">
        <v>45769</v>
      </c>
      <c r="M489" s="9">
        <f>Table11[[#This Row],[quantity]]*Table11[[#This Row],[price]]</f>
        <v>191753.97999999998</v>
      </c>
    </row>
    <row r="490" spans="1:13" x14ac:dyDescent="0.3">
      <c r="A490" t="s">
        <v>1156</v>
      </c>
      <c r="B490" t="s">
        <v>623</v>
      </c>
      <c r="C490" s="1">
        <v>45827.036111111112</v>
      </c>
      <c r="D490" t="s">
        <v>29</v>
      </c>
      <c r="E490" t="s">
        <v>166</v>
      </c>
      <c r="F490">
        <v>867</v>
      </c>
      <c r="G490">
        <v>1306.9000000000001</v>
      </c>
      <c r="H490">
        <v>566.54</v>
      </c>
      <c r="I490" t="s">
        <v>104</v>
      </c>
      <c r="J490" t="s">
        <v>115</v>
      </c>
      <c r="L490" s="1">
        <v>45695</v>
      </c>
      <c r="M490" s="9">
        <f>Table11[[#This Row],[quantity]]*Table11[[#This Row],[price]]</f>
        <v>1133082.3</v>
      </c>
    </row>
    <row r="491" spans="1:13" x14ac:dyDescent="0.3">
      <c r="A491" t="s">
        <v>1157</v>
      </c>
      <c r="B491" t="s">
        <v>448</v>
      </c>
      <c r="C491" s="1">
        <v>45693.011111111111</v>
      </c>
      <c r="D491" t="s">
        <v>29</v>
      </c>
      <c r="E491" t="s">
        <v>161</v>
      </c>
      <c r="F491">
        <v>50</v>
      </c>
      <c r="G491">
        <v>1203.05</v>
      </c>
      <c r="H491">
        <v>30.08</v>
      </c>
      <c r="I491" t="s">
        <v>86</v>
      </c>
      <c r="J491" t="s">
        <v>136</v>
      </c>
      <c r="L491" s="1">
        <v>45800</v>
      </c>
      <c r="M491" s="9">
        <f>Table11[[#This Row],[quantity]]*Table11[[#This Row],[price]]</f>
        <v>60152.5</v>
      </c>
    </row>
    <row r="492" spans="1:13" x14ac:dyDescent="0.3">
      <c r="A492" t="s">
        <v>1158</v>
      </c>
      <c r="B492" t="s">
        <v>490</v>
      </c>
      <c r="C492" s="1">
        <v>45741.01666666667</v>
      </c>
      <c r="D492" t="s">
        <v>43</v>
      </c>
      <c r="E492" t="s">
        <v>166</v>
      </c>
      <c r="F492">
        <v>460</v>
      </c>
      <c r="G492">
        <v>1285.6500000000001</v>
      </c>
      <c r="H492">
        <v>295.7</v>
      </c>
      <c r="I492" t="s">
        <v>80</v>
      </c>
      <c r="J492" t="s">
        <v>121</v>
      </c>
      <c r="L492" s="1">
        <v>45743</v>
      </c>
      <c r="M492" s="9">
        <f>Table11[[#This Row],[quantity]]*Table11[[#This Row],[price]]</f>
        <v>591399</v>
      </c>
    </row>
    <row r="493" spans="1:13" x14ac:dyDescent="0.3">
      <c r="A493" t="s">
        <v>1159</v>
      </c>
      <c r="B493" t="s">
        <v>398</v>
      </c>
      <c r="C493" s="1">
        <v>45719.013888888891</v>
      </c>
      <c r="D493" t="s">
        <v>35</v>
      </c>
      <c r="E493" t="s">
        <v>161</v>
      </c>
      <c r="F493">
        <v>153</v>
      </c>
      <c r="G493">
        <v>668.65</v>
      </c>
      <c r="H493">
        <v>51.15</v>
      </c>
      <c r="I493" t="s">
        <v>110</v>
      </c>
      <c r="J493" t="s">
        <v>124</v>
      </c>
      <c r="L493" s="1">
        <v>45817</v>
      </c>
      <c r="M493" s="9">
        <f>Table11[[#This Row],[quantity]]*Table11[[#This Row],[price]]</f>
        <v>102303.45</v>
      </c>
    </row>
    <row r="494" spans="1:13" x14ac:dyDescent="0.3">
      <c r="A494" t="s">
        <v>1160</v>
      </c>
      <c r="B494" t="s">
        <v>288</v>
      </c>
      <c r="C494" s="1">
        <v>45799.022916666669</v>
      </c>
      <c r="D494" t="s">
        <v>29</v>
      </c>
      <c r="E494" t="s">
        <v>161</v>
      </c>
      <c r="F494">
        <v>432</v>
      </c>
      <c r="G494">
        <v>1252.3900000000001</v>
      </c>
      <c r="H494">
        <v>270.52</v>
      </c>
      <c r="I494" t="s">
        <v>66</v>
      </c>
      <c r="J494" t="s">
        <v>139</v>
      </c>
      <c r="L494" s="1">
        <v>45664</v>
      </c>
      <c r="M494" s="9">
        <f>Table11[[#This Row],[quantity]]*Table11[[#This Row],[price]]</f>
        <v>541032.4800000001</v>
      </c>
    </row>
    <row r="495" spans="1:13" x14ac:dyDescent="0.3">
      <c r="A495" t="s">
        <v>1161</v>
      </c>
      <c r="B495" t="s">
        <v>500</v>
      </c>
      <c r="C495" s="1">
        <v>45761.023611111108</v>
      </c>
      <c r="D495" t="s">
        <v>35</v>
      </c>
      <c r="E495" t="s">
        <v>166</v>
      </c>
      <c r="F495">
        <v>562</v>
      </c>
      <c r="G495">
        <v>621.70000000000005</v>
      </c>
      <c r="H495">
        <v>174.7</v>
      </c>
      <c r="I495" t="s">
        <v>108</v>
      </c>
      <c r="J495" t="s">
        <v>136</v>
      </c>
      <c r="L495" s="1">
        <v>45769</v>
      </c>
      <c r="M495" s="9">
        <f>Table11[[#This Row],[quantity]]*Table11[[#This Row],[price]]</f>
        <v>349395.4</v>
      </c>
    </row>
    <row r="496" spans="1:13" x14ac:dyDescent="0.3">
      <c r="A496" t="s">
        <v>1162</v>
      </c>
      <c r="B496" t="s">
        <v>175</v>
      </c>
      <c r="C496" s="1">
        <v>45778.027777777781</v>
      </c>
      <c r="D496" t="s">
        <v>43</v>
      </c>
      <c r="E496" t="s">
        <v>161</v>
      </c>
      <c r="F496">
        <v>630</v>
      </c>
      <c r="G496">
        <v>1384.02</v>
      </c>
      <c r="H496">
        <v>435.97</v>
      </c>
      <c r="I496" t="s">
        <v>74</v>
      </c>
      <c r="J496" t="s">
        <v>127</v>
      </c>
      <c r="L496" s="1">
        <v>45741</v>
      </c>
      <c r="M496" s="9">
        <f>Table11[[#This Row],[quantity]]*Table11[[#This Row],[price]]</f>
        <v>871932.6</v>
      </c>
    </row>
    <row r="497" spans="1:13" x14ac:dyDescent="0.3">
      <c r="A497" t="s">
        <v>1163</v>
      </c>
      <c r="B497" t="s">
        <v>301</v>
      </c>
      <c r="C497" s="1">
        <v>45699.005555555559</v>
      </c>
      <c r="D497" t="s">
        <v>43</v>
      </c>
      <c r="E497" t="s">
        <v>161</v>
      </c>
      <c r="F497">
        <v>965</v>
      </c>
      <c r="G497">
        <v>1038.82</v>
      </c>
      <c r="H497">
        <v>501.23</v>
      </c>
      <c r="I497" t="s">
        <v>57</v>
      </c>
      <c r="J497" t="s">
        <v>115</v>
      </c>
      <c r="L497" s="1">
        <v>45694</v>
      </c>
      <c r="M497" s="9">
        <f>Table11[[#This Row],[quantity]]*Table11[[#This Row],[price]]</f>
        <v>1002461.2999999999</v>
      </c>
    </row>
    <row r="498" spans="1:13" x14ac:dyDescent="0.3">
      <c r="A498" t="s">
        <v>1164</v>
      </c>
      <c r="B498" t="s">
        <v>370</v>
      </c>
      <c r="C498" s="1">
        <v>45826.039583333331</v>
      </c>
      <c r="D498" t="s">
        <v>32</v>
      </c>
      <c r="E498" t="s">
        <v>166</v>
      </c>
      <c r="F498">
        <v>206</v>
      </c>
      <c r="G498">
        <v>2139.5</v>
      </c>
      <c r="H498">
        <v>220.37</v>
      </c>
      <c r="I498" t="s">
        <v>48</v>
      </c>
      <c r="J498" t="s">
        <v>133</v>
      </c>
      <c r="L498" s="1">
        <v>45728</v>
      </c>
      <c r="M498" s="9">
        <f>Table11[[#This Row],[quantity]]*Table11[[#This Row],[price]]</f>
        <v>440737</v>
      </c>
    </row>
    <row r="499" spans="1:13" x14ac:dyDescent="0.3">
      <c r="A499" t="s">
        <v>1165</v>
      </c>
      <c r="B499" t="s">
        <v>300</v>
      </c>
      <c r="C499" s="1">
        <v>45685.017361111109</v>
      </c>
      <c r="D499" t="s">
        <v>32</v>
      </c>
      <c r="E499" t="s">
        <v>161</v>
      </c>
      <c r="F499">
        <v>537</v>
      </c>
      <c r="G499">
        <v>2151.25</v>
      </c>
      <c r="H499">
        <v>577.61</v>
      </c>
      <c r="I499" t="s">
        <v>51</v>
      </c>
      <c r="J499" t="s">
        <v>136</v>
      </c>
      <c r="L499" s="1">
        <v>45721</v>
      </c>
      <c r="M499" s="9">
        <f>Table11[[#This Row],[quantity]]*Table11[[#This Row],[price]]</f>
        <v>1155221.25</v>
      </c>
    </row>
    <row r="500" spans="1:13" x14ac:dyDescent="0.3">
      <c r="A500" t="s">
        <v>1166</v>
      </c>
      <c r="B500" t="s">
        <v>221</v>
      </c>
      <c r="C500" s="1">
        <v>45715.006944444453</v>
      </c>
      <c r="D500" t="s">
        <v>27</v>
      </c>
      <c r="E500" t="s">
        <v>166</v>
      </c>
      <c r="F500">
        <v>21</v>
      </c>
      <c r="G500">
        <v>771.17</v>
      </c>
      <c r="H500">
        <v>8.1</v>
      </c>
      <c r="I500" t="s">
        <v>57</v>
      </c>
      <c r="J500" t="s">
        <v>124</v>
      </c>
      <c r="L500" s="1">
        <v>45791</v>
      </c>
      <c r="M500" s="9">
        <f>Table11[[#This Row],[quantity]]*Table11[[#This Row],[price]]</f>
        <v>16194.57</v>
      </c>
    </row>
    <row r="501" spans="1:13" x14ac:dyDescent="0.3">
      <c r="A501" t="s">
        <v>1167</v>
      </c>
      <c r="B501" t="s">
        <v>626</v>
      </c>
      <c r="C501" s="1">
        <v>45765.040277777778</v>
      </c>
      <c r="D501" t="s">
        <v>37</v>
      </c>
      <c r="E501" t="s">
        <v>161</v>
      </c>
      <c r="F501">
        <v>902</v>
      </c>
      <c r="G501">
        <v>256.23</v>
      </c>
      <c r="H501">
        <v>115.56</v>
      </c>
      <c r="I501" t="s">
        <v>100</v>
      </c>
      <c r="J501" t="s">
        <v>130</v>
      </c>
      <c r="L501" s="1">
        <v>45779</v>
      </c>
      <c r="M501" s="9">
        <f>Table11[[#This Row],[quantity]]*Table11[[#This Row],[price]]</f>
        <v>231119.46000000002</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11"/>
  <sheetViews>
    <sheetView workbookViewId="0">
      <selection activeCell="C19" sqref="C19"/>
    </sheetView>
  </sheetViews>
  <sheetFormatPr defaultColWidth="9.109375" defaultRowHeight="14.4" x14ac:dyDescent="0.3"/>
  <cols>
    <col min="1" max="1" width="12.77734375" customWidth="1"/>
    <col min="2" max="2" width="13.33203125" customWidth="1"/>
    <col min="3" max="3" width="18.33203125" bestFit="1" customWidth="1"/>
    <col min="4" max="4" width="10" customWidth="1"/>
  </cols>
  <sheetData>
    <row r="1" spans="1:4" x14ac:dyDescent="0.3">
      <c r="A1" s="2" t="s">
        <v>112</v>
      </c>
      <c r="B1" s="2" t="s">
        <v>24</v>
      </c>
      <c r="C1" s="2" t="s">
        <v>145</v>
      </c>
      <c r="D1" s="2" t="s">
        <v>156</v>
      </c>
    </row>
    <row r="2" spans="1:4" x14ac:dyDescent="0.3">
      <c r="A2" t="s">
        <v>142</v>
      </c>
      <c r="B2" t="s">
        <v>41</v>
      </c>
      <c r="C2" s="1">
        <v>45706</v>
      </c>
      <c r="D2">
        <v>916</v>
      </c>
    </row>
    <row r="3" spans="1:4" x14ac:dyDescent="0.3">
      <c r="A3" t="s">
        <v>133</v>
      </c>
      <c r="B3" t="s">
        <v>32</v>
      </c>
      <c r="C3" s="1">
        <v>45763</v>
      </c>
      <c r="D3">
        <v>202</v>
      </c>
    </row>
    <row r="4" spans="1:4" x14ac:dyDescent="0.3">
      <c r="A4" t="s">
        <v>133</v>
      </c>
      <c r="B4" t="s">
        <v>39</v>
      </c>
      <c r="C4" s="1">
        <v>45737</v>
      </c>
      <c r="D4">
        <v>833</v>
      </c>
    </row>
    <row r="5" spans="1:4" x14ac:dyDescent="0.3">
      <c r="A5" t="s">
        <v>115</v>
      </c>
      <c r="B5" t="s">
        <v>35</v>
      </c>
      <c r="C5" s="1">
        <v>45716</v>
      </c>
      <c r="D5">
        <v>908</v>
      </c>
    </row>
    <row r="6" spans="1:4" x14ac:dyDescent="0.3">
      <c r="A6" t="s">
        <v>118</v>
      </c>
      <c r="B6" t="s">
        <v>43</v>
      </c>
      <c r="C6" s="1">
        <v>45707</v>
      </c>
      <c r="D6">
        <v>809</v>
      </c>
    </row>
    <row r="7" spans="1:4" x14ac:dyDescent="0.3">
      <c r="A7" t="s">
        <v>136</v>
      </c>
      <c r="B7" t="s">
        <v>35</v>
      </c>
      <c r="C7" s="1">
        <v>45709</v>
      </c>
      <c r="D7">
        <v>345</v>
      </c>
    </row>
    <row r="8" spans="1:4" x14ac:dyDescent="0.3">
      <c r="A8" t="s">
        <v>127</v>
      </c>
      <c r="B8" t="s">
        <v>27</v>
      </c>
      <c r="C8" s="1">
        <v>45813</v>
      </c>
      <c r="D8">
        <v>934</v>
      </c>
    </row>
    <row r="9" spans="1:4" x14ac:dyDescent="0.3">
      <c r="A9" t="s">
        <v>124</v>
      </c>
      <c r="B9" t="s">
        <v>27</v>
      </c>
      <c r="C9" s="1">
        <v>45776</v>
      </c>
      <c r="D9">
        <v>618</v>
      </c>
    </row>
    <row r="10" spans="1:4" x14ac:dyDescent="0.3">
      <c r="A10" t="s">
        <v>136</v>
      </c>
      <c r="B10" t="s">
        <v>39</v>
      </c>
      <c r="C10" s="1">
        <v>45667</v>
      </c>
      <c r="D10">
        <v>896</v>
      </c>
    </row>
    <row r="11" spans="1:4" x14ac:dyDescent="0.3">
      <c r="A11" t="s">
        <v>139</v>
      </c>
      <c r="B11" t="s">
        <v>32</v>
      </c>
      <c r="C11" s="1">
        <v>45715</v>
      </c>
      <c r="D11">
        <v>479</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17B78-D2C9-455F-8F2D-D9BB02CB2211}">
  <dimension ref="A1:T37"/>
  <sheetViews>
    <sheetView tabSelected="1" zoomScale="85" zoomScaleNormal="85" workbookViewId="0">
      <selection activeCell="U17" sqref="U17"/>
    </sheetView>
  </sheetViews>
  <sheetFormatPr defaultRowHeight="14.4" x14ac:dyDescent="0.3"/>
  <cols>
    <col min="1" max="1" width="1.88671875" customWidth="1"/>
  </cols>
  <sheetData>
    <row r="1" spans="1:20" x14ac:dyDescent="0.3">
      <c r="A1" s="14"/>
    </row>
    <row r="2" spans="1:20" ht="19.8" customHeight="1" x14ac:dyDescent="0.3">
      <c r="A2" s="14"/>
    </row>
    <row r="3" spans="1:20" ht="12" customHeight="1" thickBot="1" x14ac:dyDescent="0.35">
      <c r="A3" s="14"/>
    </row>
    <row r="4" spans="1:20" x14ac:dyDescent="0.3">
      <c r="A4" s="14"/>
      <c r="B4" s="16" t="str">
        <f>Sheet2!B1</f>
        <v>Max Opening Price</v>
      </c>
      <c r="C4" s="17"/>
      <c r="D4" s="18"/>
      <c r="E4" s="14"/>
      <c r="F4" s="16" t="s">
        <v>1188</v>
      </c>
      <c r="G4" s="17"/>
      <c r="H4" s="18"/>
      <c r="I4" s="14"/>
      <c r="J4" s="16" t="s">
        <v>1186</v>
      </c>
      <c r="K4" s="17"/>
      <c r="L4" s="18"/>
      <c r="M4" s="14"/>
      <c r="N4" s="16" t="s">
        <v>1189</v>
      </c>
      <c r="O4" s="17"/>
      <c r="P4" s="18"/>
      <c r="Q4" s="14"/>
      <c r="R4" s="16" t="s">
        <v>1190</v>
      </c>
      <c r="S4" s="17"/>
      <c r="T4" s="18"/>
    </row>
    <row r="5" spans="1:20" ht="15" thickBot="1" x14ac:dyDescent="0.35">
      <c r="A5" s="14"/>
      <c r="B5" s="19"/>
      <c r="C5" s="20"/>
      <c r="D5" s="21"/>
      <c r="E5" s="14"/>
      <c r="F5" s="19"/>
      <c r="G5" s="20"/>
      <c r="H5" s="21"/>
      <c r="I5" s="14"/>
      <c r="J5" s="19"/>
      <c r="K5" s="20"/>
      <c r="L5" s="21"/>
      <c r="M5" s="14"/>
      <c r="N5" s="19"/>
      <c r="O5" s="20"/>
      <c r="P5" s="21"/>
      <c r="Q5" s="14"/>
      <c r="R5" s="19"/>
      <c r="S5" s="20"/>
      <c r="T5" s="21"/>
    </row>
    <row r="6" spans="1:20" ht="10.199999999999999" customHeight="1" x14ac:dyDescent="0.3">
      <c r="A6" s="14"/>
      <c r="B6" s="22">
        <f>MAX(Sheet2!B2:B9)</f>
        <v>2306.96</v>
      </c>
      <c r="C6" s="23"/>
      <c r="D6" s="24"/>
      <c r="E6" s="14"/>
      <c r="F6" s="22">
        <f>COUNTA(dim_trader!B2:B31)</f>
        <v>30</v>
      </c>
      <c r="G6" s="23"/>
      <c r="H6" s="24"/>
      <c r="I6" s="14"/>
      <c r="J6" s="31">
        <f>fact_daily_prices!J3</f>
        <v>5.6338779703981594E-2</v>
      </c>
      <c r="K6" s="32"/>
      <c r="L6" s="33"/>
      <c r="M6" s="14"/>
      <c r="N6" s="22">
        <f>SUM(fact_orders!E2:E501)</f>
        <v>259719</v>
      </c>
      <c r="O6" s="23"/>
      <c r="P6" s="24"/>
      <c r="Q6" s="14"/>
      <c r="R6" s="22">
        <f>MAX(fact_dividends!C2:C9)</f>
        <v>22.35</v>
      </c>
      <c r="S6" s="23"/>
      <c r="T6" s="24"/>
    </row>
    <row r="7" spans="1:20" x14ac:dyDescent="0.3">
      <c r="A7" s="14"/>
      <c r="B7" s="25"/>
      <c r="C7" s="26"/>
      <c r="D7" s="27"/>
      <c r="E7" s="14"/>
      <c r="F7" s="25"/>
      <c r="G7" s="26"/>
      <c r="H7" s="27"/>
      <c r="I7" s="14"/>
      <c r="J7" s="34"/>
      <c r="K7" s="35"/>
      <c r="L7" s="36"/>
      <c r="M7" s="14"/>
      <c r="N7" s="25"/>
      <c r="O7" s="26"/>
      <c r="P7" s="27"/>
      <c r="Q7" s="14"/>
      <c r="R7" s="25"/>
      <c r="S7" s="26"/>
      <c r="T7" s="27"/>
    </row>
    <row r="8" spans="1:20" ht="15" thickBot="1" x14ac:dyDescent="0.35">
      <c r="A8" s="14"/>
      <c r="B8" s="28"/>
      <c r="C8" s="29"/>
      <c r="D8" s="30"/>
      <c r="E8" s="14"/>
      <c r="F8" s="28"/>
      <c r="G8" s="29"/>
      <c r="H8" s="30"/>
      <c r="I8" s="14"/>
      <c r="J8" s="37"/>
      <c r="K8" s="38"/>
      <c r="L8" s="39"/>
      <c r="M8" s="14"/>
      <c r="N8" s="28"/>
      <c r="O8" s="29"/>
      <c r="P8" s="30"/>
      <c r="Q8" s="14"/>
      <c r="R8" s="28"/>
      <c r="S8" s="29"/>
      <c r="T8" s="30"/>
    </row>
    <row r="9" spans="1:20" x14ac:dyDescent="0.3">
      <c r="A9" s="14"/>
      <c r="B9" s="14"/>
      <c r="C9" s="14"/>
      <c r="D9" s="14"/>
      <c r="E9" s="14"/>
      <c r="F9" s="14"/>
      <c r="G9" s="14"/>
      <c r="H9" s="14"/>
      <c r="I9" s="14"/>
      <c r="J9" s="14"/>
      <c r="K9" s="14"/>
      <c r="L9" s="14"/>
      <c r="M9" s="14"/>
      <c r="N9" s="14"/>
      <c r="O9" s="14"/>
      <c r="P9" s="14"/>
      <c r="Q9" s="14"/>
      <c r="R9" s="14"/>
      <c r="S9" s="14"/>
      <c r="T9" s="14"/>
    </row>
    <row r="10" spans="1:20" x14ac:dyDescent="0.3">
      <c r="A10" s="14"/>
      <c r="B10" s="14"/>
      <c r="C10" s="14"/>
      <c r="D10" s="14"/>
      <c r="E10" s="14"/>
      <c r="F10" s="14"/>
      <c r="G10" s="14"/>
      <c r="H10" s="14"/>
      <c r="I10" s="14"/>
      <c r="J10" s="14"/>
      <c r="K10" s="14"/>
      <c r="L10" s="14"/>
      <c r="M10" s="14"/>
      <c r="N10" s="14"/>
      <c r="O10" s="14"/>
      <c r="P10" s="14"/>
      <c r="Q10" s="14"/>
      <c r="R10" s="14"/>
      <c r="S10" s="14"/>
      <c r="T10" s="14"/>
    </row>
    <row r="11" spans="1:20" x14ac:dyDescent="0.3">
      <c r="A11" s="14"/>
      <c r="B11" s="14"/>
      <c r="C11" s="14"/>
      <c r="D11" s="14"/>
      <c r="E11" s="14"/>
      <c r="F11" s="14"/>
      <c r="G11" s="14"/>
      <c r="H11" s="14"/>
      <c r="I11" s="14"/>
      <c r="J11" s="14"/>
      <c r="K11" s="14"/>
      <c r="L11" s="14"/>
      <c r="M11" s="14"/>
      <c r="N11" s="14"/>
      <c r="O11" s="14"/>
      <c r="P11" s="14"/>
      <c r="Q11" s="14"/>
      <c r="R11" s="14"/>
      <c r="S11" s="14"/>
      <c r="T11" s="14"/>
    </row>
    <row r="12" spans="1:20" x14ac:dyDescent="0.3">
      <c r="A12" s="14"/>
      <c r="B12" s="14"/>
      <c r="C12" s="14"/>
      <c r="D12" s="14"/>
      <c r="E12" s="14"/>
      <c r="F12" s="14"/>
      <c r="G12" s="14"/>
      <c r="H12" s="14"/>
      <c r="I12" s="14"/>
      <c r="J12" s="14"/>
      <c r="K12" s="14"/>
      <c r="L12" s="14"/>
      <c r="M12" s="14"/>
      <c r="N12" s="14"/>
      <c r="O12" s="14"/>
      <c r="P12" s="14"/>
      <c r="Q12" s="14"/>
      <c r="R12" s="14"/>
      <c r="S12" s="14"/>
      <c r="T12" s="14"/>
    </row>
    <row r="13" spans="1:20" x14ac:dyDescent="0.3">
      <c r="A13" s="14"/>
      <c r="B13" s="14"/>
      <c r="C13" s="14"/>
      <c r="D13" s="14"/>
      <c r="E13" s="14"/>
      <c r="F13" s="14"/>
      <c r="G13" s="14"/>
      <c r="H13" s="14"/>
      <c r="I13" s="14"/>
      <c r="J13" s="14"/>
      <c r="K13" s="14"/>
      <c r="L13" s="14"/>
      <c r="M13" s="14"/>
      <c r="N13" s="14"/>
      <c r="O13" s="14"/>
      <c r="P13" s="14"/>
      <c r="Q13" s="14"/>
      <c r="R13" s="14"/>
      <c r="S13" s="14"/>
      <c r="T13" s="14"/>
    </row>
    <row r="14" spans="1:20" x14ac:dyDescent="0.3">
      <c r="A14" s="14"/>
      <c r="B14" s="14"/>
      <c r="C14" s="14"/>
      <c r="D14" s="14"/>
      <c r="E14" s="14"/>
      <c r="F14" s="14"/>
      <c r="G14" s="14"/>
      <c r="H14" s="14"/>
      <c r="I14" s="14"/>
      <c r="J14" s="14"/>
      <c r="K14" s="14"/>
      <c r="L14" s="14"/>
      <c r="M14" s="14"/>
      <c r="N14" s="14"/>
      <c r="O14" s="14"/>
      <c r="P14" s="14"/>
      <c r="Q14" s="14"/>
      <c r="R14" s="14"/>
      <c r="S14" s="14"/>
      <c r="T14" s="14"/>
    </row>
    <row r="15" spans="1:20" x14ac:dyDescent="0.3">
      <c r="A15" s="14"/>
      <c r="B15" s="14"/>
      <c r="C15" s="14"/>
      <c r="D15" s="14"/>
      <c r="E15" s="14"/>
      <c r="F15" s="14"/>
      <c r="G15" s="14"/>
      <c r="H15" s="14"/>
      <c r="I15" s="14"/>
      <c r="J15" s="14"/>
      <c r="K15" s="14"/>
      <c r="L15" s="14"/>
      <c r="M15" s="14"/>
      <c r="N15" s="14"/>
      <c r="O15" s="14"/>
      <c r="P15" s="14"/>
      <c r="Q15" s="14"/>
      <c r="R15" s="14"/>
      <c r="S15" s="14"/>
      <c r="T15" s="14"/>
    </row>
    <row r="16" spans="1:20" x14ac:dyDescent="0.3">
      <c r="A16" s="14"/>
      <c r="B16" s="14"/>
      <c r="C16" s="14"/>
      <c r="D16" s="14"/>
      <c r="E16" s="14"/>
      <c r="F16" s="14"/>
      <c r="G16" s="14"/>
      <c r="H16" s="14"/>
      <c r="I16" s="14"/>
      <c r="J16" s="14"/>
      <c r="K16" s="14"/>
      <c r="L16" s="14"/>
      <c r="M16" s="14"/>
      <c r="N16" s="14"/>
      <c r="O16" s="14"/>
      <c r="P16" s="14"/>
      <c r="Q16" s="14"/>
      <c r="R16" s="14"/>
      <c r="S16" s="14"/>
      <c r="T16" s="14"/>
    </row>
    <row r="17" spans="1:20" x14ac:dyDescent="0.3">
      <c r="A17" s="14"/>
      <c r="B17" s="14"/>
      <c r="C17" s="14"/>
      <c r="D17" s="14"/>
      <c r="E17" s="14"/>
      <c r="F17" s="14"/>
      <c r="G17" s="14"/>
      <c r="H17" s="14"/>
      <c r="I17" s="14"/>
      <c r="J17" s="14"/>
      <c r="K17" s="14"/>
      <c r="L17" s="14"/>
      <c r="M17" s="14"/>
      <c r="N17" s="14"/>
      <c r="O17" s="14"/>
      <c r="P17" s="14"/>
      <c r="Q17" s="14"/>
      <c r="R17" s="14"/>
      <c r="S17" s="14"/>
      <c r="T17" s="14"/>
    </row>
    <row r="18" spans="1:20" x14ac:dyDescent="0.3">
      <c r="A18" s="14"/>
      <c r="B18" s="14"/>
      <c r="C18" s="14"/>
      <c r="D18" s="14"/>
      <c r="E18" s="14"/>
      <c r="F18" s="14"/>
      <c r="G18" s="14"/>
      <c r="H18" s="14"/>
      <c r="I18" s="14"/>
      <c r="J18" s="14"/>
      <c r="K18" s="14"/>
      <c r="L18" s="14"/>
      <c r="M18" s="14"/>
      <c r="N18" s="14"/>
      <c r="O18" s="14"/>
      <c r="P18" s="14"/>
      <c r="Q18" s="14"/>
      <c r="R18" s="14"/>
      <c r="S18" s="14"/>
      <c r="T18" s="14"/>
    </row>
    <row r="19" spans="1:20" x14ac:dyDescent="0.3">
      <c r="A19" s="14"/>
      <c r="B19" s="14"/>
      <c r="C19" s="14"/>
      <c r="D19" s="14"/>
      <c r="E19" s="14"/>
      <c r="F19" s="14"/>
      <c r="G19" s="14"/>
      <c r="H19" s="14"/>
      <c r="I19" s="14"/>
      <c r="J19" s="14"/>
      <c r="K19" s="14"/>
      <c r="L19" s="14"/>
      <c r="M19" s="14"/>
      <c r="N19" s="14"/>
      <c r="O19" s="14"/>
      <c r="P19" s="14"/>
      <c r="Q19" s="14"/>
      <c r="R19" s="14"/>
      <c r="S19" s="14"/>
      <c r="T19" s="14"/>
    </row>
    <row r="20" spans="1:20" x14ac:dyDescent="0.3">
      <c r="A20" s="14"/>
      <c r="B20" s="14"/>
      <c r="C20" s="14"/>
      <c r="D20" s="14"/>
      <c r="E20" s="14"/>
      <c r="F20" s="14"/>
      <c r="G20" s="14"/>
      <c r="H20" s="14"/>
      <c r="I20" s="14"/>
      <c r="J20" s="14"/>
      <c r="K20" s="14"/>
      <c r="L20" s="14"/>
      <c r="M20" s="14"/>
      <c r="N20" s="14"/>
      <c r="O20" s="14"/>
      <c r="P20" s="14"/>
      <c r="Q20" s="14"/>
      <c r="R20" s="14"/>
      <c r="S20" s="14"/>
      <c r="T20" s="14"/>
    </row>
    <row r="21" spans="1:20" x14ac:dyDescent="0.3">
      <c r="A21" s="14"/>
      <c r="B21" s="14"/>
      <c r="C21" s="14"/>
      <c r="D21" s="14"/>
      <c r="E21" s="14"/>
      <c r="F21" s="14"/>
      <c r="G21" s="14"/>
      <c r="H21" s="14"/>
      <c r="I21" s="14"/>
      <c r="J21" s="14"/>
      <c r="K21" s="14"/>
      <c r="L21" s="14"/>
      <c r="M21" s="14"/>
      <c r="N21" s="14"/>
      <c r="O21" s="14"/>
      <c r="P21" s="14"/>
      <c r="Q21" s="14"/>
      <c r="R21" s="14"/>
      <c r="S21" s="14"/>
      <c r="T21" s="14"/>
    </row>
    <row r="22" spans="1:20" x14ac:dyDescent="0.3">
      <c r="A22" s="14"/>
      <c r="B22" s="14"/>
      <c r="C22" s="14"/>
      <c r="D22" s="14"/>
      <c r="E22" s="14"/>
      <c r="F22" s="14"/>
      <c r="G22" s="14"/>
      <c r="H22" s="14"/>
      <c r="I22" s="14"/>
      <c r="J22" s="14"/>
      <c r="K22" s="14"/>
      <c r="L22" s="14"/>
      <c r="M22" s="14"/>
      <c r="N22" s="14"/>
      <c r="O22" s="14"/>
      <c r="P22" s="14"/>
      <c r="Q22" s="14"/>
      <c r="R22" s="14"/>
      <c r="S22" s="14"/>
      <c r="T22" s="14"/>
    </row>
    <row r="23" spans="1:20" x14ac:dyDescent="0.3">
      <c r="A23" s="14"/>
      <c r="B23" s="14"/>
      <c r="C23" s="14"/>
      <c r="D23" s="14"/>
      <c r="E23" s="14"/>
      <c r="F23" s="14"/>
      <c r="G23" s="14"/>
      <c r="H23" s="14"/>
      <c r="I23" s="14"/>
      <c r="J23" s="14"/>
      <c r="K23" s="14"/>
      <c r="L23" s="14"/>
      <c r="M23" s="14"/>
      <c r="N23" s="14"/>
      <c r="O23" s="14"/>
      <c r="P23" s="14"/>
      <c r="Q23" s="14"/>
      <c r="R23" s="14"/>
      <c r="S23" s="14"/>
      <c r="T23" s="14"/>
    </row>
    <row r="24" spans="1:20" x14ac:dyDescent="0.3">
      <c r="A24" s="14"/>
      <c r="B24" s="14"/>
      <c r="C24" s="14"/>
      <c r="D24" s="14"/>
      <c r="E24" s="14"/>
      <c r="F24" s="14"/>
      <c r="G24" s="14"/>
      <c r="H24" s="14"/>
      <c r="I24" s="14"/>
      <c r="J24" s="14"/>
      <c r="K24" s="14"/>
      <c r="L24" s="14"/>
      <c r="M24" s="14"/>
      <c r="N24" s="14"/>
      <c r="O24" s="14"/>
      <c r="P24" s="14"/>
      <c r="Q24" s="14"/>
      <c r="R24" s="14"/>
      <c r="S24" s="14"/>
      <c r="T24" s="14"/>
    </row>
    <row r="25" spans="1:20" x14ac:dyDescent="0.3">
      <c r="A25" s="14"/>
      <c r="B25" s="14"/>
      <c r="C25" s="14"/>
      <c r="D25" s="14"/>
      <c r="E25" s="14"/>
      <c r="F25" s="14"/>
      <c r="G25" s="14"/>
      <c r="H25" s="14"/>
      <c r="I25" s="14"/>
      <c r="J25" s="14"/>
      <c r="K25" s="14"/>
      <c r="L25" s="14"/>
      <c r="M25" s="14"/>
      <c r="N25" s="14"/>
      <c r="O25" s="14"/>
      <c r="P25" s="14"/>
      <c r="Q25" s="14"/>
      <c r="R25" s="14"/>
      <c r="S25" s="14"/>
      <c r="T25" s="14"/>
    </row>
    <row r="26" spans="1:20" x14ac:dyDescent="0.3">
      <c r="A26" s="14"/>
      <c r="B26" s="14"/>
      <c r="C26" s="14"/>
      <c r="D26" s="14"/>
      <c r="E26" s="14"/>
      <c r="F26" s="14"/>
      <c r="G26" s="14"/>
      <c r="H26" s="14"/>
      <c r="I26" s="14"/>
      <c r="J26" s="14"/>
      <c r="K26" s="14"/>
      <c r="L26" s="14"/>
      <c r="M26" s="14"/>
      <c r="N26" s="14"/>
      <c r="O26" s="14"/>
      <c r="P26" s="14"/>
      <c r="Q26" s="14"/>
      <c r="R26" s="14"/>
      <c r="S26" s="14"/>
      <c r="T26" s="14"/>
    </row>
    <row r="27" spans="1:20" x14ac:dyDescent="0.3">
      <c r="A27" s="14"/>
      <c r="B27" s="14"/>
      <c r="C27" s="14"/>
      <c r="D27" s="14"/>
      <c r="E27" s="14"/>
      <c r="F27" s="14"/>
      <c r="G27" s="14"/>
      <c r="H27" s="14"/>
      <c r="I27" s="14"/>
      <c r="J27" s="14"/>
      <c r="K27" s="14"/>
      <c r="L27" s="14"/>
      <c r="M27" s="14"/>
      <c r="N27" s="14"/>
      <c r="O27" s="14"/>
      <c r="P27" s="14"/>
      <c r="Q27" s="14"/>
      <c r="R27" s="14"/>
      <c r="S27" s="14"/>
      <c r="T27" s="14"/>
    </row>
    <row r="28" spans="1:20" x14ac:dyDescent="0.3">
      <c r="A28" s="14"/>
      <c r="B28" s="14"/>
      <c r="C28" s="14"/>
      <c r="D28" s="14"/>
      <c r="E28" s="14"/>
      <c r="F28" s="14"/>
      <c r="G28" s="14"/>
      <c r="H28" s="14"/>
      <c r="I28" s="14"/>
      <c r="J28" s="14"/>
      <c r="K28" s="14"/>
      <c r="L28" s="14"/>
      <c r="M28" s="14"/>
      <c r="N28" s="14"/>
      <c r="O28" s="14"/>
      <c r="P28" s="14"/>
      <c r="Q28" s="14"/>
      <c r="R28" s="14"/>
      <c r="S28" s="14"/>
      <c r="T28" s="14"/>
    </row>
    <row r="29" spans="1:20" x14ac:dyDescent="0.3">
      <c r="A29" s="14"/>
      <c r="B29" s="14"/>
      <c r="C29" s="14"/>
      <c r="D29" s="14"/>
      <c r="E29" s="14"/>
      <c r="F29" s="14"/>
      <c r="G29" s="14"/>
      <c r="H29" s="14"/>
      <c r="I29" s="14"/>
      <c r="J29" s="14"/>
      <c r="K29" s="14"/>
      <c r="L29" s="14"/>
      <c r="M29" s="14"/>
      <c r="N29" s="14"/>
      <c r="O29" s="14"/>
      <c r="P29" s="14"/>
      <c r="Q29" s="14"/>
      <c r="R29" s="14"/>
      <c r="S29" s="14"/>
      <c r="T29" s="14"/>
    </row>
    <row r="30" spans="1:20" x14ac:dyDescent="0.3">
      <c r="A30" s="14"/>
      <c r="B30" s="14"/>
      <c r="C30" s="14"/>
      <c r="D30" s="14"/>
      <c r="E30" s="14"/>
      <c r="F30" s="14"/>
      <c r="G30" s="14"/>
      <c r="H30" s="14"/>
      <c r="I30" s="14"/>
      <c r="J30" s="14"/>
      <c r="K30" s="14"/>
      <c r="L30" s="14"/>
      <c r="M30" s="14"/>
      <c r="N30" s="14"/>
      <c r="O30" s="14"/>
      <c r="P30" s="14"/>
      <c r="Q30" s="14"/>
      <c r="R30" s="14"/>
      <c r="S30" s="14"/>
      <c r="T30" s="14"/>
    </row>
    <row r="31" spans="1:20" x14ac:dyDescent="0.3">
      <c r="A31" s="14"/>
      <c r="B31" s="14"/>
      <c r="C31" s="14"/>
      <c r="D31" s="14"/>
      <c r="E31" s="14"/>
      <c r="F31" s="14"/>
      <c r="G31" s="14"/>
      <c r="H31" s="14"/>
      <c r="I31" s="14"/>
      <c r="J31" s="14"/>
      <c r="K31" s="14"/>
      <c r="L31" s="14"/>
      <c r="M31" s="14"/>
      <c r="N31" s="14"/>
      <c r="O31" s="14"/>
      <c r="P31" s="14"/>
      <c r="Q31" s="14"/>
      <c r="R31" s="14"/>
      <c r="S31" s="14"/>
      <c r="T31" s="14"/>
    </row>
    <row r="32" spans="1:20" x14ac:dyDescent="0.3">
      <c r="A32" s="14"/>
      <c r="B32" s="14"/>
      <c r="C32" s="14"/>
      <c r="D32" s="14"/>
      <c r="E32" s="14"/>
      <c r="F32" s="14"/>
      <c r="G32" s="14"/>
      <c r="H32" s="14"/>
      <c r="I32" s="14"/>
      <c r="J32" s="14"/>
      <c r="K32" s="14"/>
      <c r="L32" s="14"/>
      <c r="M32" s="14"/>
      <c r="N32" s="14"/>
      <c r="O32" s="14"/>
      <c r="P32" s="14"/>
      <c r="Q32" s="14"/>
      <c r="R32" s="14"/>
      <c r="S32" s="14"/>
      <c r="T32" s="14"/>
    </row>
    <row r="33" spans="1:20" x14ac:dyDescent="0.3">
      <c r="A33" s="14"/>
      <c r="B33" s="14"/>
      <c r="C33" s="14"/>
      <c r="D33" s="14"/>
      <c r="E33" s="14"/>
      <c r="F33" s="14"/>
      <c r="G33" s="14"/>
      <c r="H33" s="14"/>
      <c r="I33" s="14"/>
      <c r="J33" s="14"/>
      <c r="K33" s="14"/>
      <c r="L33" s="14"/>
      <c r="M33" s="14"/>
      <c r="N33" s="14"/>
      <c r="O33" s="14"/>
      <c r="P33" s="14"/>
      <c r="Q33" s="14"/>
      <c r="R33" s="14"/>
      <c r="S33" s="14"/>
      <c r="T33" s="14"/>
    </row>
    <row r="34" spans="1:20" x14ac:dyDescent="0.3">
      <c r="A34" s="14"/>
      <c r="B34" s="14"/>
      <c r="C34" s="14"/>
      <c r="D34" s="14"/>
      <c r="E34" s="14"/>
      <c r="F34" s="14"/>
      <c r="G34" s="14"/>
      <c r="H34" s="14"/>
      <c r="I34" s="14"/>
      <c r="J34" s="14"/>
      <c r="K34" s="14"/>
      <c r="L34" s="14"/>
      <c r="M34" s="14"/>
      <c r="N34" s="14"/>
      <c r="O34" s="14"/>
      <c r="P34" s="14"/>
      <c r="Q34" s="14"/>
      <c r="R34" s="14"/>
      <c r="S34" s="14"/>
      <c r="T34" s="14"/>
    </row>
    <row r="35" spans="1:20" x14ac:dyDescent="0.3">
      <c r="A35" s="14"/>
      <c r="B35" s="14"/>
      <c r="C35" s="14"/>
      <c r="D35" s="14"/>
      <c r="E35" s="14"/>
      <c r="F35" s="14"/>
      <c r="G35" s="14"/>
      <c r="H35" s="14"/>
      <c r="I35" s="14"/>
      <c r="J35" s="14"/>
      <c r="K35" s="14"/>
      <c r="L35" s="14"/>
      <c r="M35" s="14"/>
      <c r="N35" s="14"/>
      <c r="O35" s="14"/>
      <c r="P35" s="14"/>
      <c r="Q35" s="14"/>
      <c r="R35" s="14"/>
      <c r="S35" s="14"/>
      <c r="T35" s="14"/>
    </row>
    <row r="36" spans="1:20" x14ac:dyDescent="0.3">
      <c r="A36" s="14"/>
      <c r="B36" s="14"/>
      <c r="C36" s="14"/>
      <c r="D36" s="14"/>
      <c r="E36" s="14"/>
      <c r="F36" s="14"/>
      <c r="G36" s="14"/>
      <c r="H36" s="14"/>
      <c r="I36" s="14"/>
      <c r="J36" s="14"/>
      <c r="K36" s="14"/>
      <c r="L36" s="14"/>
      <c r="M36" s="14"/>
      <c r="N36" s="14"/>
      <c r="O36" s="14"/>
      <c r="P36" s="14"/>
      <c r="Q36" s="14"/>
      <c r="R36" s="14"/>
      <c r="S36" s="14"/>
      <c r="T36" s="14"/>
    </row>
    <row r="37" spans="1:20" x14ac:dyDescent="0.3">
      <c r="A37" s="14"/>
      <c r="B37" s="14"/>
      <c r="C37" s="14"/>
      <c r="D37" s="14"/>
      <c r="E37" s="14"/>
      <c r="F37" s="14"/>
      <c r="G37" s="14"/>
      <c r="H37" s="14"/>
      <c r="I37" s="14"/>
      <c r="J37" s="14"/>
      <c r="K37" s="14"/>
      <c r="L37" s="14"/>
      <c r="M37" s="14"/>
      <c r="N37" s="14"/>
      <c r="O37" s="14"/>
      <c r="P37" s="14"/>
      <c r="Q37" s="14"/>
      <c r="R37" s="14"/>
      <c r="S37" s="14"/>
      <c r="T37" s="14"/>
    </row>
  </sheetData>
  <mergeCells count="10">
    <mergeCell ref="N4:P5"/>
    <mergeCell ref="N6:P8"/>
    <mergeCell ref="R4:T5"/>
    <mergeCell ref="R6:T8"/>
    <mergeCell ref="B4:D5"/>
    <mergeCell ref="B6:D8"/>
    <mergeCell ref="F4:H5"/>
    <mergeCell ref="F6:H8"/>
    <mergeCell ref="J4:L5"/>
    <mergeCell ref="J6:L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9488A26-41D6-4D2C-81AD-C64DB1C315DC}">
  <ds:schemaRefs/>
</ds:datastoreItem>
</file>

<file path=customXml/itemProps2.xml><?xml version="1.0" encoding="utf-8"?>
<ds:datastoreItem xmlns:ds="http://schemas.openxmlformats.org/officeDocument/2006/customXml" ds:itemID="{B3086DFF-8387-409E-AF41-C6DC0442D606}">
  <ds:schemaRefs/>
</ds:datastoreItem>
</file>

<file path=customXml/itemProps3.xml><?xml version="1.0" encoding="utf-8"?>
<ds:datastoreItem xmlns:ds="http://schemas.openxmlformats.org/officeDocument/2006/customXml" ds:itemID="{83710F8B-6C36-42AE-AD46-67181037C857}">
  <ds:schemaRefs/>
</ds:datastoreItem>
</file>

<file path=customXml/itemProps4.xml><?xml version="1.0" encoding="utf-8"?>
<ds:datastoreItem xmlns:ds="http://schemas.openxmlformats.org/officeDocument/2006/customXml" ds:itemID="{FB23D75C-99DC-41A0-B683-EFE56D3CA4D7}">
  <ds:schemaRefs/>
</ds:datastoreItem>
</file>

<file path=customXml/itemProps5.xml><?xml version="1.0" encoding="utf-8"?>
<ds:datastoreItem xmlns:ds="http://schemas.openxmlformats.org/officeDocument/2006/customXml" ds:itemID="{0835543D-B61A-4643-A1D2-2729E48B1CF7}">
  <ds:schemaRefs/>
</ds:datastoreItem>
</file>

<file path=customXml/itemProps6.xml><?xml version="1.0" encoding="utf-8"?>
<ds:datastoreItem xmlns:ds="http://schemas.openxmlformats.org/officeDocument/2006/customXml" ds:itemID="{E7227A31-817B-4E66-9DBB-33142DFE026C}">
  <ds:schemaRefs/>
</ds:datastoreItem>
</file>

<file path=customXml/itemProps7.xml><?xml version="1.0" encoding="utf-8"?>
<ds:datastoreItem xmlns:ds="http://schemas.openxmlformats.org/officeDocument/2006/customXml" ds:itemID="{67FCCFC4-374C-4590-AD1A-CF92919FCDB1}">
  <ds:schemaRefs/>
</ds:datastoreItem>
</file>

<file path=customXml/itemProps8.xml><?xml version="1.0" encoding="utf-8"?>
<ds:datastoreItem xmlns:ds="http://schemas.openxmlformats.org/officeDocument/2006/customXml" ds:itemID="{6FF33145-324A-43F1-B795-87B7F7211848}">
  <ds:schemaRefs/>
</ds:datastoreItem>
</file>

<file path=customXml/itemProps9.xml><?xml version="1.0" encoding="utf-8"?>
<ds:datastoreItem xmlns:ds="http://schemas.openxmlformats.org/officeDocument/2006/customXml" ds:itemID="{BC8F561E-5F8A-4AE3-AA2A-B2C331991D7C}">
  <ds:schemaRefs/>
</ds:datastoreItem>
</file>

<file path=customXml/itemProps10.xml><?xml version="1.0" encoding="utf-8"?>
<ds:datastoreItem xmlns:ds="http://schemas.openxmlformats.org/officeDocument/2006/customXml" ds:itemID="{A9C73DB3-AE56-4356-A0F5-5E642F63A599}">
  <ds:schemaRefs/>
</ds:datastoreItem>
</file>

<file path=customXml/itemProps11.xml><?xml version="1.0" encoding="utf-8"?>
<ds:datastoreItem xmlns:ds="http://schemas.openxmlformats.org/officeDocument/2006/customXml" ds:itemID="{34733C74-17CF-4509-BD4B-56AE6CD02022}">
  <ds:schemaRefs/>
</ds:datastoreItem>
</file>

<file path=customXml/itemProps12.xml><?xml version="1.0" encoding="utf-8"?>
<ds:datastoreItem xmlns:ds="http://schemas.openxmlformats.org/officeDocument/2006/customXml" ds:itemID="{890766E3-6155-41F8-B63E-A5F92847013D}">
  <ds:schemaRefs/>
</ds:datastoreItem>
</file>

<file path=customXml/itemProps13.xml><?xml version="1.0" encoding="utf-8"?>
<ds:datastoreItem xmlns:ds="http://schemas.openxmlformats.org/officeDocument/2006/customXml" ds:itemID="{8007DD3E-FA0B-440E-B40D-709C8FBC60B8}">
  <ds:schemaRefs/>
</ds:datastoreItem>
</file>

<file path=customXml/itemProps14.xml><?xml version="1.0" encoding="utf-8"?>
<ds:datastoreItem xmlns:ds="http://schemas.openxmlformats.org/officeDocument/2006/customXml" ds:itemID="{11CE73F8-EA7A-4DED-8E64-8FF50955F5DC}">
  <ds:schemaRefs/>
</ds:datastoreItem>
</file>

<file path=customXml/itemProps15.xml><?xml version="1.0" encoding="utf-8"?>
<ds:datastoreItem xmlns:ds="http://schemas.openxmlformats.org/officeDocument/2006/customXml" ds:itemID="{9E6B4538-0E79-487F-AA69-93805CBB9933}">
  <ds:schemaRefs/>
</ds:datastoreItem>
</file>

<file path=customXml/itemProps16.xml><?xml version="1.0" encoding="utf-8"?>
<ds:datastoreItem xmlns:ds="http://schemas.openxmlformats.org/officeDocument/2006/customXml" ds:itemID="{29091136-20A4-4EBB-9C0D-40020BF8D62A}">
  <ds:schemaRefs/>
</ds:datastoreItem>
</file>

<file path=customXml/itemProps17.xml><?xml version="1.0" encoding="utf-8"?>
<ds:datastoreItem xmlns:ds="http://schemas.openxmlformats.org/officeDocument/2006/customXml" ds:itemID="{6A00C7DE-EDA5-4F76-9831-F13FADEA47D2}">
  <ds:schemaRefs/>
</ds:datastoreItem>
</file>

<file path=customXml/itemProps18.xml><?xml version="1.0" encoding="utf-8"?>
<ds:datastoreItem xmlns:ds="http://schemas.openxmlformats.org/officeDocument/2006/customXml" ds:itemID="{8F2DFD6D-61BC-4534-ADC8-D28261495334}">
  <ds:schemaRefs/>
</ds:datastoreItem>
</file>

<file path=customXml/itemProps19.xml><?xml version="1.0" encoding="utf-8"?>
<ds:datastoreItem xmlns:ds="http://schemas.openxmlformats.org/officeDocument/2006/customXml" ds:itemID="{5A72E08B-D09D-48FE-BD8D-DF084C0EDB51}">
  <ds:schemaRefs/>
</ds:datastoreItem>
</file>

<file path=customXml/itemProps20.xml><?xml version="1.0" encoding="utf-8"?>
<ds:datastoreItem xmlns:ds="http://schemas.openxmlformats.org/officeDocument/2006/customXml" ds:itemID="{3B73A86B-39D3-4037-A168-9111378A52BA}">
  <ds:schemaRefs/>
</ds:datastoreItem>
</file>

<file path=customXml/itemProps21.xml><?xml version="1.0" encoding="utf-8"?>
<ds:datastoreItem xmlns:ds="http://schemas.openxmlformats.org/officeDocument/2006/customXml" ds:itemID="{E0AEDFBE-2783-46FA-97BA-7F06CEA01437}">
  <ds:schemaRefs/>
</ds:datastoreItem>
</file>

<file path=customXml/itemProps22.xml><?xml version="1.0" encoding="utf-8"?>
<ds:datastoreItem xmlns:ds="http://schemas.openxmlformats.org/officeDocument/2006/customXml" ds:itemID="{A38C1FF3-00C5-4D74-A6FD-2A06E9F13652}">
  <ds:schemaRefs/>
</ds:datastoreItem>
</file>

<file path=customXml/itemProps23.xml><?xml version="1.0" encoding="utf-8"?>
<ds:datastoreItem xmlns:ds="http://schemas.openxmlformats.org/officeDocument/2006/customXml" ds:itemID="{AD8D6CDE-20CB-41C7-BCC3-D81A637605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dim_exchange</vt:lpstr>
      <vt:lpstr>dim_sector</vt:lpstr>
      <vt:lpstr>dim_company</vt:lpstr>
      <vt:lpstr>dim_trader</vt:lpstr>
      <vt:lpstr>dim_portfolio</vt:lpstr>
      <vt:lpstr>dim_calendar</vt:lpstr>
      <vt:lpstr>fact_daily_prices</vt:lpstr>
      <vt:lpstr>Sheet1</vt:lpstr>
      <vt:lpstr>Sheet2</vt:lpstr>
      <vt:lpstr>fact_dividends</vt:lpstr>
      <vt:lpstr>fact_splits</vt:lpstr>
      <vt:lpstr>fact_orders</vt:lpstr>
      <vt:lpstr>fact_trades</vt:lpstr>
      <vt:lpstr>fact_positions_snapshot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arbaz kazi</cp:lastModifiedBy>
  <dcterms:created xsi:type="dcterms:W3CDTF">2025-08-18T05:06:16Z</dcterms:created>
  <dcterms:modified xsi:type="dcterms:W3CDTF">2025-09-12T17:15:58Z</dcterms:modified>
</cp:coreProperties>
</file>